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CERTIFICADO GENERAL" sheetId="1" r:id="rId5"/>
    <sheet state="visible" name="DATOS CERTIFICADOS MODULARES" sheetId="2" r:id="rId6"/>
    <sheet state="visible" name="INICIO 1" sheetId="3" r:id="rId7"/>
    <sheet state="visible" name="INICIO 2" sheetId="4" r:id="rId8"/>
    <sheet state="visible" name="INICIO 3" sheetId="5" r:id="rId9"/>
    <sheet state="visible" name="INICIO 4" sheetId="6" r:id="rId10"/>
    <sheet state="visible" name="COMPLETO" sheetId="7" r:id="rId11"/>
    <sheet state="visible" name="LINKS" sheetId="8" r:id="rId12"/>
    <sheet state="visible" name="QR" sheetId="9" r:id="rId13"/>
  </sheets>
  <definedNames>
    <definedName hidden="1" localSheetId="2" name="_xlnm._FilterDatabase">'INICIO 1'!$A$1:$L$27</definedName>
    <definedName hidden="1" localSheetId="3" name="_xlnm._FilterDatabase">'INICIO 2'!$A$1:$Q$9</definedName>
    <definedName hidden="1" localSheetId="4" name="_xlnm._FilterDatabase">'INICIO 3'!$P$1:$P$3</definedName>
    <definedName hidden="1" localSheetId="5" name="_xlnm._FilterDatabase">'INICIO 4'!$P$1:$P$8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El 22 dice que no podrá dictar el docente
Coordinar con el
</t>
      </text>
    </comment>
  </commentList>
</comments>
</file>

<file path=xl/sharedStrings.xml><?xml version="1.0" encoding="utf-8"?>
<sst xmlns="http://schemas.openxmlformats.org/spreadsheetml/2006/main" count="260" uniqueCount="172">
  <si>
    <t>PROGRAMA</t>
  </si>
  <si>
    <t>FECHA INICIO</t>
  </si>
  <si>
    <t>FECHA FINAL</t>
  </si>
  <si>
    <t>FECHA QR</t>
  </si>
  <si>
    <t>HORAS</t>
  </si>
  <si>
    <t>1RA FIRMA</t>
  </si>
  <si>
    <t>PRIMER DOCENTE</t>
  </si>
  <si>
    <t>AVAL</t>
  </si>
  <si>
    <t>SELLO AVAL</t>
  </si>
  <si>
    <t>QR</t>
  </si>
  <si>
    <t xml:space="preserve">M1 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</si>
  <si>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</si>
  <si>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</si>
  <si>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</si>
  <si>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</si>
  <si>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</si>
  <si>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</si>
  <si>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</si>
  <si>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</si>
  <si>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</si>
  <si>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</si>
  <si>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</si>
  <si>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Programa de especialización en perforación y voladura 4.0 para minería subterránea y superficial aplicado con softwares e ia</t>
  </si>
  <si>
    <r>
      <rPr>
        <color rgb="FF1155CC"/>
        <u/>
      </rPr>
      <t>Carlo Javier Salas Carbajal.png</t>
    </r>
  </si>
  <si>
    <t>Carlo Javier Salas Carbajal</t>
  </si>
  <si>
    <r>
      <rPr>
        <color rgb="FF1155CC"/>
        <u/>
      </rPr>
      <t>perforación y voladura 4.0 para minería subterránea y superficial aplicado con softwares e ia.png</t>
    </r>
  </si>
  <si>
    <t>FUNDAMENTOS DE LA PERFORACIÓN Y VOLADURA</t>
  </si>
  <si>
    <t>TERMOQUÍMICA DE EXPLOSIVOS Y CONTROL DE HUMOS POSTVOLADURA</t>
  </si>
  <si>
    <t>CRITERIOS PARA EL DISEÑO DE MALLAS DE PERFORACIÓN Y SELECCIÓN DE EXPLOSIVOS</t>
  </si>
  <si>
    <t>SIMULACIÓN Y DISEÑO DE VOLADURAS EN JK SIMBLAST</t>
  </si>
  <si>
    <t>PLANIFICACIÓN DE TRABAJOS DE PERFORACIÓN Y VOLADURA CON EXCEL</t>
  </si>
  <si>
    <t xml:space="preserve">OPTIMIZACIÓN ECONÓMICA DE LA FRAGMENTACIÓN, PERFORACIÓN Y VOLADURA CON POWER BI
</t>
  </si>
  <si>
    <t>CONTROL Y ANÁLISIS DE VIBRACIONES, ONDA AÉREA Y PROYECCIONES EN PERFORACIÓN Y VOLADURA</t>
  </si>
  <si>
    <t>APLICACIÓN DE PYTHON E INTELIGENCIA ARTIFICIAL EN PERFORACIÓN Y VOLADURA</t>
  </si>
  <si>
    <t>SIMULACIÓN DE VOLADURAS EN MINERÍA SUPERFICIAL CON I-BLAST</t>
  </si>
  <si>
    <t>TACNA INGENIEROS SELLO.png</t>
  </si>
  <si>
    <r>
      <rPr>
        <color rgb="FF1155CC"/>
        <u/>
      </rPr>
      <t>SELLO FIRMA TACNA.png</t>
    </r>
  </si>
  <si>
    <t>PROGRAMA MODULO</t>
  </si>
  <si>
    <t>2DA FIRMA</t>
  </si>
  <si>
    <t>SEGUNDO DOCENTE</t>
  </si>
  <si>
    <t>MODULO TEMA</t>
  </si>
  <si>
    <r>
      <rPr>
        <color rgb="FF1155CC"/>
        <u/>
      </rPr>
      <t>Carlo Javier Salas Carbajal.png</t>
    </r>
  </si>
  <si>
    <r>
      <rPr>
        <color rgb="FF1155CC"/>
        <u/>
      </rPr>
      <t>JAVIER MAXIMILIANO VERA.png</t>
    </r>
  </si>
  <si>
    <t>JAVIER MAXIMILIANO VERA ZUÑIGA</t>
  </si>
  <si>
    <r>
      <rPr>
        <color rgb="FF1155CC"/>
        <u/>
      </rPr>
      <t>perforación y voladura 4.0 para minería subterránea y superficial aplicado con softwares e ia.png</t>
    </r>
  </si>
  <si>
    <r>
      <rPr>
        <rFont val="Arial"/>
        <b/>
        <color theme="1"/>
      </rPr>
      <t xml:space="preserve">FUNDAMENTOS DE LA PERFORACIÓN Y VOLADURA
Propiedades de las Rocas y su Influencia en la Perforación y Voladura
</t>
    </r>
    <r>
      <rPr>
        <rFont val="Arial"/>
        <color theme="1"/>
      </rPr>
      <t xml:space="preserve">•        Clasificación geomecánica de rocas (RQD, GSI, UCS). 
•        Propiedades físicas y mecánicas: resistencia, dureza, abrasividad, fracturamiento. 
•        Comportamiento de las rocas frente a la energía de los explosivos. 
•        Casos prácticos de selección de parámetros según el tipo de roca. 
</t>
    </r>
    <r>
      <rPr>
        <rFont val="Arial"/>
        <b/>
        <color theme="1"/>
      </rPr>
      <t xml:space="preserve">Explosivos en Minería
</t>
    </r>
    <r>
      <rPr>
        <rFont val="Arial"/>
        <color theme="1"/>
      </rPr>
      <t xml:space="preserve">•        Conceptos básicos: densidad, energía, velocidad de detonación. 
•        Clasificación de explosivos: baja y alta velocidad. 
•        Tipos de explosivos más usados en minería: ANFO, emulsiones, slurries, dinamitas. 
•        Selección de explosivos según tipo de roca y condición operativa. Ventajas, limitaciones y costos. 
</t>
    </r>
    <r>
      <rPr>
        <rFont val="Arial"/>
        <b/>
        <color theme="1"/>
      </rPr>
      <t xml:space="preserve">Sistemas de Iniciación en Voladura
</t>
    </r>
    <r>
      <rPr>
        <rFont val="Arial"/>
        <color theme="1"/>
      </rPr>
      <t xml:space="preserve">•        Principios de iniciación y transmisión de energía. 
•        Métodos tradicionales: mecha lenta, detonadores eléctricos. 
•        Sistemas no eléctricos: ventajas y aplicaciones. 
•        Sistemas electrónicos y digitales: precisión y control en voladuras complejas. 
•        Comparación técnica y económica entre sistemas. 
•        Ejemplos prácticos de esquemas de iniciación. 
</t>
    </r>
    <r>
      <rPr>
        <rFont val="Arial"/>
        <b/>
        <color theme="1"/>
      </rPr>
      <t xml:space="preserve">Equipos de Perforación y Voladura
</t>
    </r>
    <r>
      <rPr>
        <rFont val="Arial"/>
        <color theme="1"/>
      </rPr>
      <t xml:space="preserve">•        Clasificación de equipos de perforación: manuales, neumáticos, hidráulicos y rotativos. 
•        Sistemas de perforación para minería superficial y subterránea. 
•        Herramientas y accesorios de perforación. 
•        Maquinaria de carguío y sistemas automatizados de voladura. 
•        Innovaciones tecnológicas en equipos y tendencias futuras. 
</t>
    </r>
    <r>
      <rPr>
        <rFont val="Arial"/>
        <b/>
        <color theme="1"/>
      </rPr>
      <t xml:space="preserve">Reglamentos y Seguridad en Perforación y Voladura
</t>
    </r>
    <r>
      <rPr>
        <rFont val="Arial"/>
        <color theme="1"/>
      </rPr>
      <t xml:space="preserve">•        Normativas nacionales e internacionales aplicables (OIT, ICMM, normativas locales). 
•        Procedimientos seguros para transporte, almacenamiento y manipulación de explosivos. 
•        Protocolos de seguridad en campo: antes, durante y después de la voladura. 
•        Identificación de riesgos más comunes y medidas preventivas. Buenas prácticas para la reducción de vibraciones, proyecciones y polvo. 
•        Cultura de seguridad y sostenibilidad en operaciones mineras. 
</t>
    </r>
  </si>
  <si>
    <r>
      <rPr>
        <color rgb="FF1155CC"/>
        <u/>
      </rPr>
      <t>Carlo Javier Salas Carbajal.png</t>
    </r>
  </si>
  <si>
    <r>
      <rPr>
        <color rgb="FF1155CC"/>
        <u/>
      </rPr>
      <t>JAVIER MAXIMILIANO VERA.png</t>
    </r>
  </si>
  <si>
    <r>
      <rPr>
        <color rgb="FF1155CC"/>
        <u/>
      </rPr>
      <t>perforación y voladura 4.0 para minería subterránea y superficial aplicado con softwares e ia.png</t>
    </r>
  </si>
  <si>
    <r>
      <rPr>
        <rFont val="Arial"/>
        <b/>
        <color theme="1"/>
      </rPr>
      <t>TERMOQUÍMICA DE EXPLOSIVOS Y CONTROL DE HUMOS POSTVOLADURA:
FUNDAMENTOS DE LA TERMOQUÍMICA DE EXPLOSIVOS:</t>
    </r>
    <r>
      <rPr>
        <rFont val="Arial"/>
        <color theme="1"/>
      </rPr>
      <t xml:space="preserve">
•        Principios básicos de la reacción explosiva. 
•        Energia liberada, temperatura de explosión y productos gaseosos. 
•        Conceptos clave: poder calorifico, lorifico, energia especifica y gases de reacción. 
•        Introducción al bilance de oxigeno 
</t>
    </r>
    <r>
      <rPr>
        <rFont val="Arial"/>
        <b/>
        <color theme="1"/>
      </rPr>
      <t xml:space="preserve">BALANCE DE OXIGENO Y EFICIENCIA DE LOS EXPLOSIVOS:
</t>
    </r>
    <r>
      <rPr>
        <rFont val="Arial"/>
        <color theme="1"/>
      </rPr>
      <t xml:space="preserve">•        Definición y cálculo del balance de oxigeno. 
•        Explosivos con balance positivo, negativo y neutro. 
•        Influencia del balance de oxigeno en la energia liberada y en la generación de humos. 
•        Selección de explosivos adecuados según el tipo de operación minera. 
•        Ejercicios prácticos de cálculo de balance de oxigeno en ANFO, emulsiones y slurries. 
</t>
    </r>
    <r>
      <rPr>
        <rFont val="Arial"/>
        <b/>
        <color theme="1"/>
      </rPr>
      <t xml:space="preserve">HUMOS POST VOLADURA - IDENTIFICACIÓN Y EFECTOS:
</t>
    </r>
    <r>
      <rPr>
        <rFont val="Arial"/>
        <color theme="1"/>
      </rPr>
      <t xml:space="preserve">•        Tipos de humos post-voladura: gases tóxicos (CO, NOx, NH₃). 
•        Causas principales de su generación: mala mezcla, exceso de agua, confinamiento deficiente, pobre balance de oxigeno. 
•        Casos reales en minezia superficial y subterránea. 
•        Consecuencias para la salud, seguridad y medio ambiente. 
</t>
    </r>
    <r>
      <rPr>
        <rFont val="Arial"/>
        <b/>
        <color theme="1"/>
      </rPr>
      <t xml:space="preserve">ESTRATEGIAS DE CONTROL Y PREVENCIÓN DE HUMOS POST-VOLADURA:
</t>
    </r>
    <r>
      <rPr>
        <rFont val="Arial"/>
        <color theme="1"/>
      </rPr>
      <t xml:space="preserve">•        Buenas prácticas en el diseño de la voladura. 
•        Uso de explosivos con balance de oxigeno controlado. 
•        Técnicas de carguio y confinamiento 
•        Ventilación y dispersión de gases en minas subterráneas. 
</t>
    </r>
  </si>
  <si>
    <r>
      <rPr>
        <color rgb="FF1155CC"/>
        <u/>
      </rPr>
      <t>Carlo Javier Salas Carbajal.png</t>
    </r>
  </si>
  <si>
    <r>
      <rPr>
        <color rgb="FF1155CC"/>
        <u/>
      </rPr>
      <t>JAVIER MAXIMILIANO VERA.png</t>
    </r>
  </si>
  <si>
    <r>
      <rPr>
        <color rgb="FF1155CC"/>
        <u/>
      </rPr>
      <t>perforación y voladura 4.0 para minería subterránea y superficial aplicado con softwares e ia.png</t>
    </r>
  </si>
  <si>
    <r>
      <rPr>
        <rFont val="Arial"/>
        <b/>
        <color theme="1"/>
      </rPr>
      <t>CRITERIOS PARA EL DISEÑO DE MALLAS DE PERFORACIÓN Y SELECCIÓN DE EXPLOSIVOS</t>
    </r>
    <r>
      <rPr>
        <rFont val="Arial"/>
        <color theme="1"/>
      </rPr>
      <t xml:space="preserve">
</t>
    </r>
    <r>
      <rPr>
        <rFont val="Arial"/>
        <b/>
        <color theme="1"/>
      </rPr>
      <t>Fundamentos del Diseño de Mallas de Perforación</t>
    </r>
    <r>
      <rPr>
        <rFont val="Arial"/>
        <color theme="1"/>
      </rPr>
      <t xml:space="preserve">
•        Objetivos del diseño de mallas en minería superficial y subterránea. 
•        Parámetros básicos: burden, espaciamiento, subperforación, taco y diámetro de taladro. 
•        Geometrías de mallas: cuadrada, rectángulo, en abanico y en línea. 
•        Errores comune</t>
    </r>
    <r>
      <rPr>
        <rFont val="Arial"/>
        <b/>
        <color theme="1"/>
      </rPr>
      <t>s en el diseño de mallas. 
Influencia de las Propiedades de la Roca en el Diseño de Voladuras</t>
    </r>
    <r>
      <rPr>
        <rFont val="Arial"/>
        <color theme="1"/>
      </rPr>
      <t xml:space="preserve">
•        Resistencia, fracturamiento, buzamiento y estratificación de la roca. 
•        Ajustes en burden y espaciamiento según condiciones geomecánicas. Impacto de la roca en la fragmentación y control de vibraciones. 
•        Casos prácticos de diferentes tipos de roca (dura, blanda, fracturada). 
</t>
    </r>
    <r>
      <rPr>
        <rFont val="Arial"/>
        <b/>
        <color theme="1"/>
      </rPr>
      <t>Selección de Explosivos y su Relación con la Roca</t>
    </r>
    <r>
      <rPr>
        <rFont val="Arial"/>
        <color theme="1"/>
      </rPr>
      <t xml:space="preserve">
•        Criterios técnicos: densidad, velocidad de detonación, energía y sensibilidad. 
•        Relación entre propiedades de la roca y características del explosivo. Comparación de ANFO, emulsiones, slurries y mezclas híbridas. 
•        Selección de explosivos en minería superficial y subterránea. 
</t>
    </r>
    <r>
      <rPr>
        <rFont val="Arial"/>
        <b/>
        <color theme="1"/>
      </rPr>
      <t>Métodos de Diseño de Mallas de Perforación y Voladura</t>
    </r>
    <r>
      <rPr>
        <rFont val="Arial"/>
        <color theme="1"/>
      </rPr>
      <t xml:space="preserve">
•        Principios del diseño empírico y racional. 
•        Métodos de Langefors y Kihlström. 
•        Método de Holmberg: fundamentos y aplicaciones. 
•        Comparación entre métodos y su aplicabilidad en distintos contextos. 
•        Ejercicios prácticos de cálculo con cada método. 
</t>
    </r>
    <r>
      <rPr>
        <rFont val="Arial"/>
        <b/>
        <color theme="1"/>
      </rPr>
      <t>Secuenciamiento y Retardos en Voladura</t>
    </r>
    <r>
      <rPr>
        <rFont val="Arial"/>
        <color theme="1"/>
      </rPr>
      <t xml:space="preserve">
•        Principios del secuenciamiento en voladuras. 
•        Tipos de retardos: eléctricos, no eléctricos y electrónicos. 
•        Efectos del secuenciamiento en la fragmentación, vibración y proyecciones. 
•        Ejemplos de esquemas de disparo y prácticas de diseño. 
</t>
    </r>
    <r>
      <rPr>
        <rFont val="Arial"/>
        <b/>
        <color theme="1"/>
      </rPr>
      <t>Voladura Controlada y Casos Aplicados</t>
    </r>
    <r>
      <rPr>
        <rFont val="Arial"/>
        <color theme="1"/>
      </rPr>
      <t xml:space="preserve">
•        Objetivos de la voladura controlada: reducción de daños y vibraciones. 
•        Métodos: precorte, cushion blasting, smooth blasting. 
•        Diseño de mallas para contornos en minería superficial y subterránea. 
•        Casos prácticos de voladura controlada en taludes y labores subterráneas. 
•        Ejercicio integrador: diseño completo de malla con selección de explosivo, método de cálculo y secuenciamiento 
</t>
    </r>
  </si>
  <si>
    <r>
      <rPr>
        <color rgb="FF1155CC"/>
        <u/>
      </rPr>
      <t>Carlo Javier Salas Carbajal.png</t>
    </r>
  </si>
  <si>
    <r>
      <rPr>
        <color rgb="FF1155CC"/>
        <u/>
      </rPr>
      <t>JAVIER MAXIMILIANO VERA.png</t>
    </r>
  </si>
  <si>
    <r>
      <rPr>
        <color rgb="FF1155CC"/>
        <u/>
      </rPr>
      <t>perforación y voladura 4.0 para minería subterránea y superficial aplicado con softwares e ia.png</t>
    </r>
  </si>
  <si>
    <r>
      <rPr>
        <rFont val="Arial"/>
        <b/>
        <color theme="1"/>
      </rPr>
      <t>SIMULACIÓN Y DISEÑO DE VOLADURAS EN JK SIMBLAST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Introducción al Software JK SimBlast
</t>
    </r>
    <r>
      <rPr>
        <rFont val="Arial"/>
        <color theme="1"/>
      </rPr>
      <t xml:space="preserve">•        Instalación, entorno de trabajo y navegación por la interfaz. 
•        Conceptos básicos del modelado en 2D. 
•        Flujo de trabajo en simulaciones de perforación y voladura. 
•        Configuración inicial de parámetros generales. 
</t>
    </r>
    <r>
      <rPr>
        <rFont val="Arial"/>
        <b/>
        <color theme="1"/>
      </rPr>
      <t>Módulo 2D Face (Minería Subterránea)</t>
    </r>
    <r>
      <rPr>
        <rFont val="Arial"/>
        <color theme="1"/>
      </rPr>
      <t xml:space="preserve">
•        Introducción al módulo 2D Face. 
•        Definición de geometría y parámetros de la malla de perforación. 
•        Configuración de burden, espaciamiento y diámetro de taladro. 
•        Ejercicio práctico inicial. 
</t>
    </r>
    <r>
      <rPr>
        <rFont val="Arial"/>
        <b/>
        <color theme="1"/>
      </rPr>
      <t>Módulo 2D Face - Parte II</t>
    </r>
    <r>
      <rPr>
        <rFont val="Arial"/>
        <color theme="1"/>
      </rPr>
      <t xml:space="preserve">
•        Carguío de taladros: tipos de explosivos y distribución en columna. 
•        Simulación de secuenciamiento y retardos. Interpretación de resultados: presión, fragmentación y proyecciones. 
•        Optimización de parámetros. 
•        Análisis avanzado de resultados. 
•        Ajustes para control de vibraciones y estabilidad del macizo rocoso. 
•        Ejercicios prácticos aplicados a un caso real subterráneo. 
</t>
    </r>
    <r>
      <rPr>
        <rFont val="Arial"/>
        <b/>
        <color theme="1"/>
      </rPr>
      <t>Módulo AEGIS (Taladros largos)</t>
    </r>
    <r>
      <rPr>
        <rFont val="Arial"/>
        <color theme="1"/>
      </rPr>
      <t xml:space="preserve">
•        Concepto de voladuras en anillo (Ring Blasting). 
•        Modelado de taladros para túneles y cámaras subterráneas. 
•        Simulación y análisis de resultados. 
•        Comparación de escenarios y ajuste de parámetros. 
</t>
    </r>
    <r>
      <rPr>
        <rFont val="Arial"/>
        <b/>
        <color theme="1"/>
      </rPr>
      <t>Módulo 2D Bench (Minería Superficial)</t>
    </r>
    <r>
      <rPr>
        <rFont val="Arial"/>
        <color theme="1"/>
      </rPr>
      <t xml:space="preserve">
•        Introducción al módulo 2D Bench. 
•        Definición de geometría de banco y malla de perforación. 
•        Carguío de explosivos y secuenciamiento básico. 
•        Simulación inicial de voladura en tajo abierto. 
</t>
    </r>
    <r>
      <rPr>
        <rFont val="Arial"/>
        <b/>
        <color theme="1"/>
      </rPr>
      <t xml:space="preserve">Módulo 2D Bench - Parte II
</t>
    </r>
    <r>
      <rPr>
        <rFont val="Arial"/>
        <color theme="1"/>
      </rPr>
      <t xml:space="preserve">•        Análisis detallado de resultados: fragmentación, proyecciones y vibraciones. 
•        Optimización de la malla y selección de explosivos en minería superficial. 
•        Ejercicio práctico aplicado a un caso real de voladura en banco. 
</t>
    </r>
  </si>
  <si>
    <r>
      <rPr>
        <color rgb="FF1155CC"/>
        <u/>
      </rPr>
      <t>Carlo Javier Salas Carbajal.png</t>
    </r>
  </si>
  <si>
    <r>
      <rPr>
        <color rgb="FF1155CC"/>
        <u/>
      </rPr>
      <t>JAVIER MAXIMILIANO VERA.png</t>
    </r>
  </si>
  <si>
    <r>
      <rPr>
        <color rgb="FF1155CC"/>
        <u/>
      </rPr>
      <t>perforación y voladura 4.0 para minería subterránea y superficial aplicado con softwares e ia.png</t>
    </r>
  </si>
  <si>
    <r>
      <rPr>
        <rFont val="Arial"/>
        <b/>
        <color theme="1"/>
      </rPr>
      <t>PLANIFICACIÓN DE TRABAJOS DE PERFORACIÓN Y VOLADURA CON EXCEL</t>
    </r>
    <r>
      <rPr>
        <rFont val="Arial"/>
        <color theme="1"/>
      </rPr>
      <t xml:space="preserve">
</t>
    </r>
    <r>
      <rPr>
        <rFont val="Arial"/>
        <b/>
        <color theme="1"/>
      </rPr>
      <t>Planificación de Perforación en Minería Superficial con Excel</t>
    </r>
    <r>
      <rPr>
        <rFont val="Arial"/>
        <color theme="1"/>
      </rPr>
      <t xml:space="preserve">
•        Definición de parámetros básicos: burden, espaciamiento, longitud y diámetro de taladro. 
•        Creación de tablas de perforación en Excel para bancos y tajos abiertos. 
•        Cálculo de número de taladros, longitud total perforada y consumo de brocas. Ejercicio práctico: diseño de una malla de perforación superficial en Excel. 
</t>
    </r>
    <r>
      <rPr>
        <rFont val="Arial"/>
        <b/>
        <color theme="1"/>
      </rPr>
      <t>Planificación de Voladura en Minería Superficial con Excel</t>
    </r>
    <r>
      <rPr>
        <rFont val="Arial"/>
        <color theme="1"/>
      </rPr>
      <t xml:space="preserve">
•        Asignación de cargas explosivas en columnas y tacos. 
•        Determinación del factor de potencia y consumo de explosivos por tonelada. Diseño de secuenciamiento y retardos en Excel (esquema de disparo superficial). 
•        Caso práctico: planificación completa de una voladura superficial en Excel. </t>
    </r>
    <r>
      <rPr>
        <rFont val="Arial"/>
        <b/>
        <color theme="1"/>
      </rPr>
      <t xml:space="preserve">
Planificación de Perforación en Minería Subterránea con Excel</t>
    </r>
    <r>
      <rPr>
        <rFont val="Arial"/>
        <color theme="1"/>
      </rPr>
      <t xml:space="preserve">
•        Configuración de labores subterráneas: galerías, frentes y cámaras. 
•        Diseño de mallas de perforación en abanico (fan), rings y stopes. 
•        Cálculo automático de longitudes de perforación y distribución de taladros. 
•        Ejercicio práctico: hoja de Excel para perforación de una galería subterránea. 
</t>
    </r>
    <r>
      <rPr>
        <rFont val="Arial"/>
        <b/>
        <color theme="1"/>
      </rPr>
      <t>Planificación de Voladura en Minería Subterránea con Excel</t>
    </r>
    <r>
      <rPr>
        <rFont val="Arial"/>
        <color theme="1"/>
      </rPr>
      <t xml:space="preserve">
•        Distribución de explosivos en rings y frentes subterráneos. 
•        Secuenciamiento de disparos para control de sobre-rotura y sostenimiento. 
•        Estimación de fragmentación y análisis de costos de perforación/voladura. 
•        Caso práctico: planificación de voladura en minería subterránea con Excel. 
</t>
    </r>
  </si>
  <si>
    <r>
      <rPr>
        <color rgb="FF1155CC"/>
        <u/>
      </rPr>
      <t>Carlo Javier Salas Carbajal.png</t>
    </r>
  </si>
  <si>
    <r>
      <rPr>
        <color rgb="FF1155CC"/>
        <u/>
      </rPr>
      <t>JAVIER MAXIMILIANO VERA.png</t>
    </r>
  </si>
  <si>
    <r>
      <rPr>
        <color rgb="FF1155CC"/>
        <u/>
      </rPr>
      <t>perforación y voladura 4.0 para minería subterránea y superficial aplicado con softwares e ia.png</t>
    </r>
  </si>
  <si>
    <r>
      <rPr>
        <rFont val="Arial"/>
        <b/>
        <color theme="1"/>
      </rPr>
      <t>OPTIMIZACIÓN ECONÓMICA DE LA FRAGMENTACIÓN, PERFORACIÓN Y VOLADURA CON POWER BI
Fundamentos Económicos de la Perforación y Voladura</t>
    </r>
    <r>
      <rPr>
        <rFont val="Arial"/>
        <color theme="1"/>
      </rPr>
      <t xml:space="preserve">
•        Concepto de costo total de la voladura: perforación, explosivos, accesorios, logística y seguridad. 
•        Relación fragmentación - productividad - costo global minero. 
•        Ejemplos de impacto económico en minería superficial y subterránea. 
</t>
    </r>
    <r>
      <rPr>
        <rFont val="Arial"/>
        <b/>
        <color theme="1"/>
      </rPr>
      <t>Costo de Perforación y su Optimización</t>
    </r>
    <r>
      <rPr>
        <rFont val="Arial"/>
        <color theme="1"/>
      </rPr>
      <t xml:space="preserve">
•        Factores que influyen en el costo de perforación: profundidad, diámetro, equipo, rendimiento. Estrategias de reducción de costos: selección de equipos, parámetros de perforación, diseño de mallas. 
•        Casos prácticos: análisis de costos de perforación en diferentes escenarios mineros. 
</t>
    </r>
    <r>
      <rPr>
        <rFont val="Arial"/>
        <b/>
        <color theme="1"/>
      </rPr>
      <t>Costo de Explosivos y Voladura</t>
    </r>
    <r>
      <rPr>
        <rFont val="Arial"/>
        <color theme="1"/>
      </rPr>
      <t xml:space="preserve">
•        Clasificación de explosivos y sus costos unitarios. Costo por metro perforado vs. costo por tonelada fragmentada. 
•        Optimización del uso de explosivos: factor de potencia, relación carga-diámetro, reducción de sobreconsumo. 
•        Ejercicios: comparación económica entre ANFO, emulsiones y mezclas. 
</t>
    </r>
    <r>
      <rPr>
        <rFont val="Arial"/>
        <b/>
        <color theme="1"/>
      </rPr>
      <t>Optimización Económica de la Fragmentación</t>
    </r>
    <r>
      <rPr>
        <rFont val="Arial"/>
        <color theme="1"/>
      </rPr>
      <t xml:space="preserve">
•        Fragmentación óptima y su relación con costos en carguío, transporte y chancado. 
•        Impacto económico de la subfragmentación y sobrerotura. 
•        Modelos de optimización: Kuz-Ram y enfoques empíricos aplicados a costos. 
•        Taller práctico: cálculo del costo global de fragmentación en un caso real. 
</t>
    </r>
    <r>
      <rPr>
        <rFont val="Arial"/>
        <b/>
        <color theme="1"/>
      </rPr>
      <t xml:space="preserve">Integración y Estrategias de Optimización
</t>
    </r>
    <r>
      <rPr>
        <rFont val="Arial"/>
        <color theme="1"/>
      </rPr>
      <t xml:space="preserve">•        Evaluación del costo integral del ciclo minero (perforación -&gt; voladura -&gt; carguío -&gt; chancado). 
•        Análisis costo-beneficio: más perforación vs. más explosivos. 
•        Herramientas de software y hojas de cálculo para optimización económica. 
•        Estudio de caso: optimización de costos de perforación y voladura en una operación minera real. 
</t>
    </r>
  </si>
  <si>
    <r>
      <rPr>
        <color rgb="FF1155CC"/>
        <u/>
      </rPr>
      <t>Carlo Javier Salas Carbajal.png</t>
    </r>
  </si>
  <si>
    <r>
      <rPr>
        <color rgb="FF1155CC"/>
        <u/>
      </rPr>
      <t>JAVIER MAXIMILIANO VERA.png</t>
    </r>
  </si>
  <si>
    <r>
      <rPr>
        <color rgb="FF1155CC"/>
        <u/>
      </rPr>
      <t>perforación y voladura 4.0 para minería subterránea y superficial aplicado con softwares e ia.png</t>
    </r>
  </si>
  <si>
    <r>
      <rPr>
        <rFont val="Arial"/>
        <b/>
        <color theme="1"/>
      </rPr>
      <t>CONTROL Y ANÁLISIS DE VIBRACIONES, ONDA AÉREA Y PROYECCIONES EN PERFORACIÓN Y VOLADURA</t>
    </r>
    <r>
      <rPr>
        <rFont val="Arial"/>
        <color theme="1"/>
      </rPr>
      <t xml:space="preserve">
</t>
    </r>
    <r>
      <rPr>
        <rFont val="Arial"/>
        <b/>
        <color theme="1"/>
      </rPr>
      <t>Fundamentos del Análisis Vibracional en Voladuras</t>
    </r>
    <r>
      <rPr>
        <rFont val="Arial"/>
        <color theme="1"/>
      </rPr>
      <t xml:space="preserve">
•        Conceptos básicos de vibración sísmica en minería. 
•        Parámetros fundamentales: PPV (velocidad pico de partícula), frecuencia y aceleración. 
•        Efectos de la vibración en estructuras superficiales y subterráneas. 
•        Normativas y estándares internacionales (USBM, DIN 4150, AENOR). 
</t>
    </r>
    <r>
      <rPr>
        <rFont val="Arial"/>
        <b/>
        <color theme="1"/>
      </rPr>
      <t>Onda Aérea y Efectos en el Entorno</t>
    </r>
    <r>
      <rPr>
        <rFont val="Arial"/>
        <color theme="1"/>
      </rPr>
      <t xml:space="preserve">
•        Definición de onda aérea y mecanismos de generación. 
•        Variables que influyen: carga, tiempo de retardo, geometría de la voladura, condiciones meteorológicas. </t>
    </r>
    <r>
      <rPr>
        <rFont val="Arial"/>
        <b/>
        <color theme="1"/>
      </rPr>
      <t xml:space="preserve">Impacto en viviendas, infraestructuras y comunidades. </t>
    </r>
    <r>
      <rPr>
        <rFont val="Arial"/>
        <color theme="1"/>
      </rPr>
      <t xml:space="preserve">
•        Métodos de medición y control de onda aérea. 
</t>
    </r>
    <r>
      <rPr>
        <rFont val="Arial"/>
        <b/>
        <color theme="1"/>
      </rPr>
      <t>Proyecciones (Fly-Rocks) y Seguridad Operacional</t>
    </r>
    <r>
      <rPr>
        <rFont val="Arial"/>
        <color theme="1"/>
      </rPr>
      <t xml:space="preserve">
•        Causas principales de proyecciones: sobrecarga, pobre confinamiento, errores de diseño. 
•        Evaluación de riesgos por proyecciones en mina superficial y subterránea. 
•        Métodos de prevención y control. 
•        Estudio de casos de accidentes y lecciones aprendidas. 
</t>
    </r>
    <r>
      <rPr>
        <rFont val="Arial"/>
        <b/>
        <color theme="1"/>
      </rPr>
      <t>Técnicas de Control y Mitigación</t>
    </r>
    <r>
      <rPr>
        <rFont val="Arial"/>
        <color theme="1"/>
      </rPr>
      <t xml:space="preserve">
•        Diseño de mallas de perforación y voladura para minimizar vibración y onda aérea. 
•        Uso de detonadores electrónicos y timing controlado. 
•        Barreras físicas y naturales para control de proyecciones. 
•        Tecnologías modernas de monitoreo en tiempo real (sismógrafos, drones, sensores loT). 
</t>
    </r>
  </si>
  <si>
    <r>
      <rPr>
        <color rgb="FF1155CC"/>
        <u/>
      </rPr>
      <t>Carlo Javier Salas Carbajal.png</t>
    </r>
  </si>
  <si>
    <r>
      <rPr>
        <color rgb="FF1155CC"/>
        <u/>
      </rPr>
      <t>JAVIER MAXIMILIANO VERA.png</t>
    </r>
  </si>
  <si>
    <r>
      <rPr>
        <color rgb="FF1155CC"/>
        <u/>
      </rPr>
      <t>perforación y voladura 4.0 para minería subterránea y superficial aplicado con softwares e ia.png</t>
    </r>
  </si>
  <si>
    <t xml:space="preserve">APLICACIÓN DE PYTHON E INTELIGENCIA ARTIFICIAL EN PERFORACIÓN Y VOLADURA
Fundamentos de Perforación, Voladura y Análisis de Datos
•	Principios básicos de perforación y voladura aplicados a minería. 
•	Variables clave: burden, espaciamiento, diámetro de perforación, factor de potencia. 
•	Fundamentos de fragmentación, PPV (Peak Particle Velocity) y granulometría (P80). 
•	Introducción a Python para ingeniería minera: librerías esenciales (pandas, numpy, matplotlib, scikit-learn). 
Procesamiento y Análisis de Datos de Voladura
•	Obtención y preparación de bases de datos de perforación y voladura. 
•	Limpieza, integración y visualización de datos (exploración de tendencias y correlaciones). 
•	Aplicación de Python para análisis estadístico de variables operativas. 
•	Introducción al concepto de Data-Driven Mining. 
Predicción de Fragmentación con IA
•	Modelos de fragmentación tradicionales (Kuz-Ram, Rosin-Rammler). 
•	Uso de Machine Learning (regresión, árboles de decisión, redes neuronales) para predecir distribución granulométrica. 
•	Predicción del P80 mediante IA. 
•	Evaluación del desempeño de modelos predictivos (RMSE, $R^{2}$ MAE). 
Análisis y Predicción de Vibraciones (PPV)
•	Conceptos fundamentales de vibraciones inducidas por voladura y control ambiental. 
•	Modelos empíricos de predicción del PPV. 
•	Aplicación de Python para ajustar y mejorar modelos con IA. 
•	Predicción y validación de PPV con datos reales. 
Predicciones de Costos y Optimización
•	Relación entre fragmentación, consumo de explosivos y costos operativos. 
•	Modelos predictivos para costo por tonelada fragmentada. 
•	Análisis de escenarios: optimización de diseños de voladura con IA. 
•	Uso de Python para simulación y predicción de costos. 
</t>
  </si>
  <si>
    <r>
      <rPr>
        <color rgb="FF1155CC"/>
        <u/>
      </rPr>
      <t>Carlo Javier Salas Carbajal.png</t>
    </r>
  </si>
  <si>
    <r>
      <rPr>
        <color rgb="FF1155CC"/>
        <u/>
      </rPr>
      <t>JAVIER MAXIMILIANO VERA.png</t>
    </r>
  </si>
  <si>
    <r>
      <rPr>
        <color rgb="FF1155CC"/>
        <u/>
      </rPr>
      <t>perforación y voladura 4.0 para minería subterránea y superficial aplicado con softwares e ia.png</t>
    </r>
  </si>
  <si>
    <r>
      <rPr>
        <rFont val="Arial"/>
        <b/>
        <color theme="1"/>
      </rPr>
      <t>SIMULACIÓN DE VOLADURAS EN MINERÍA SUPERFICIAL CON I-BLAST
Introducción al Software I-Blast</t>
    </r>
    <r>
      <rPr>
        <rFont val="Arial"/>
        <color theme="1"/>
      </rPr>
      <t xml:space="preserve">
•        Entorno de trabajo y características principales. 
•        Configuración inicial y carga de parámetros del banco. 
•        Diferencias clave entre I-Blast y otros softwares de simulación. 
•        Caso demostrativo de simulación simple. 
</t>
    </r>
    <r>
      <rPr>
        <rFont val="Arial"/>
        <b/>
        <color theme="1"/>
      </rPr>
      <t>Diseño de Mallas en I-Blast</t>
    </r>
    <r>
      <rPr>
        <rFont val="Arial"/>
        <color theme="1"/>
      </rPr>
      <t xml:space="preserve">
•        Definición de geometría del banco y taladros. 
•        Parámetros básicos: burden, espaciamiento, longitud, etc. 
•        Configuración de explosivos y carguío en taladros. 
•        Ejercicio práctico: diseño de una malla estándar para minería superficial. 
</t>
    </r>
    <r>
      <rPr>
        <rFont val="Arial"/>
        <b/>
        <color theme="1"/>
      </rPr>
      <t>Secuenciamiento y Retardos en I-Blast</t>
    </r>
    <r>
      <rPr>
        <rFont val="Arial"/>
        <color theme="1"/>
      </rPr>
      <t xml:space="preserve">
•        Configuración de tiempos de retardo en taladros y filas. Estrategias de secuenciamiento para optimizar fragmentación y control de vibraciones. 
•        Visualización de ondas de choque y simulación de disparo. Ejercicio aplicado con diferentes esquemas de secuenciamiento. 
</t>
    </r>
    <r>
      <rPr>
        <rFont val="Arial"/>
        <b/>
        <color theme="1"/>
      </rPr>
      <t>Análisis de Resultados en I-Blast</t>
    </r>
    <r>
      <rPr>
        <rFont val="Arial"/>
        <color theme="1"/>
      </rPr>
      <t xml:space="preserve">
•        Interpretación de resultados de fragmentación. 
•        Control de vibraciones, proyecciones y desplazamiento del macizo. 
•        Evaluación de eficiencia energética de la voladura. 
•        Casos prácticos comparativos con diferentes configuraciones. 
</t>
    </r>
    <r>
      <rPr>
        <rFont val="Arial"/>
        <b/>
        <color theme="1"/>
      </rPr>
      <t>Optimización Avanzada y Casos Reales</t>
    </r>
    <r>
      <rPr>
        <rFont val="Arial"/>
        <color theme="1"/>
      </rPr>
      <t xml:space="preserve">
•        Simulación avanzada en diferentes escenarios de tajo abierto. 
•        Ajuste de parámetros para mejorar seguridad y reducir costos. 
•        Comparación con casos reales de operaciones mineras. 
•        Discusión de errores comunes y mejores prácticas en el uso de I-Blast. 
</t>
    </r>
  </si>
  <si>
    <t>NOMBRE</t>
  </si>
  <si>
    <t>REGISTRO</t>
  </si>
  <si>
    <t>TOMO</t>
  </si>
  <si>
    <t>FOLIO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</si>
  <si>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</si>
  <si>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</si>
  <si>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</si>
  <si>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</si>
  <si>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</si>
  <si>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</si>
  <si>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</si>
  <si>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</si>
  <si>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</si>
  <si>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</si>
  <si>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EDUARDO FABRICIO LERZUNDI CHIRA</t>
  </si>
  <si>
    <t>PAEPV4MSASI-02</t>
  </si>
  <si>
    <t>eduardolerzundi@hotmail.com</t>
  </si>
  <si>
    <t>José Alfredo Peñuñuri Sevilla</t>
  </si>
  <si>
    <t>PAEPV4MSASI-03</t>
  </si>
  <si>
    <t>ja18ps@gmail.com</t>
  </si>
  <si>
    <t>Victor Victoriano Miranda Gutierrez</t>
  </si>
  <si>
    <t>PAEPV4MSASI-08</t>
  </si>
  <si>
    <t>victoriano370@gmail.com</t>
  </si>
  <si>
    <t>AMERICO CONDORI PUMAHUILLCA</t>
  </si>
  <si>
    <t>PAEPV4MSASI-10</t>
  </si>
  <si>
    <t>154962@unsaac.edu.pe</t>
  </si>
  <si>
    <t>Osvaldo Josie Acuña Moreno</t>
  </si>
  <si>
    <t>PAEPV4MSASI-11</t>
  </si>
  <si>
    <t>osvaldoacunamoreno72@gmail.com</t>
  </si>
  <si>
    <t>Paúl Christian Santos Porras</t>
  </si>
  <si>
    <t>PAEPV4MSASI-15</t>
  </si>
  <si>
    <t>psminero_1@hotmail.com</t>
  </si>
  <si>
    <t>Fernando Samir Quespaz Pozo</t>
  </si>
  <si>
    <t>PAEPV4MSASI-23</t>
  </si>
  <si>
    <t>samir_pozo@hotmail.com</t>
  </si>
  <si>
    <t>Rodrigo Ccahuana Vargas</t>
  </si>
  <si>
    <t>PAEPV4MSASI-24</t>
  </si>
  <si>
    <t>Paul Abel Loayza Pfuyo</t>
  </si>
  <si>
    <t>PAEPV4MSASI-25</t>
  </si>
  <si>
    <t>Aldo Edison Valencia Huayhua</t>
  </si>
  <si>
    <t>PAEPV4MSASI-26</t>
  </si>
  <si>
    <t>MICHAEL HIMBLER AQUINO BARRIGA</t>
  </si>
  <si>
    <t>PAEPV4MSASI-04</t>
  </si>
  <si>
    <t>aquinobarrigam@gmail.com</t>
  </si>
  <si>
    <t>SAUL COPETICON ILAJA</t>
  </si>
  <si>
    <t>PAEPV4MSASI-05</t>
  </si>
  <si>
    <t>sky1503320@gmail.com</t>
  </si>
  <si>
    <t>SADITH CIELO VALLEJOS TAYPE</t>
  </si>
  <si>
    <t>PAEPV4MSASI-12</t>
  </si>
  <si>
    <t>sadithcielovallejost@gmail.com</t>
  </si>
  <si>
    <t>COLEGIO DE ING DEL PERU</t>
  </si>
  <si>
    <t>Sadan José Palomino Tapia</t>
  </si>
  <si>
    <t>PAEPV4MSASI-13</t>
  </si>
  <si>
    <t>sadanpalomino521@gmail.com</t>
  </si>
  <si>
    <t>ABEL ARTEMIO CHAVEZ LEYVA</t>
  </si>
  <si>
    <t>PAEPV4MSASI-19</t>
  </si>
  <si>
    <t>abel.artemio92@gmail.com</t>
  </si>
  <si>
    <t>JUAN CARLOS LERMO LAYME</t>
  </si>
  <si>
    <t>PAEPV4MSASI-20</t>
  </si>
  <si>
    <t>juan.lermo.l@uni.pe</t>
  </si>
  <si>
    <t>JEYMY FRANCK DE LA CRUZ RETAMOZO</t>
  </si>
  <si>
    <t>PAEPV4MSASI-21</t>
  </si>
  <si>
    <t>franckdelacruz2@gmail.com</t>
  </si>
  <si>
    <t>Daniel Enrique Cardenas Angulo</t>
  </si>
  <si>
    <t>PAEPV4MSASI-22</t>
  </si>
  <si>
    <t>dani06angu12@gmail.com</t>
  </si>
  <si>
    <t>Pedro Royer Bejarano Chiri</t>
  </si>
  <si>
    <t>PAEPV4MSASI-18</t>
  </si>
  <si>
    <t>royer.peter195@gmail.com</t>
  </si>
  <si>
    <t>ANDY ROY ROJAS ZOLORZANO</t>
  </si>
  <si>
    <t>PAEPV4MSASI-01</t>
  </si>
  <si>
    <t>andy.24rrz@gmail.com</t>
  </si>
  <si>
    <t>Marcos Marcelo Espeche</t>
  </si>
  <si>
    <t>PAEPV4MSASI-07</t>
  </si>
  <si>
    <t>ivangsanchez87@gmail.com</t>
  </si>
  <si>
    <t>Jefferson Fernando Escobar Armijos</t>
  </si>
  <si>
    <t>PAEPV4MSASI-09</t>
  </si>
  <si>
    <t>escobarjeff496@gmail.com</t>
  </si>
  <si>
    <t>Gabriela Michelle Miraval Rivas</t>
  </si>
  <si>
    <t>PAEPV4MSASI-14</t>
  </si>
  <si>
    <t>gmmr290900@gmail.com</t>
  </si>
  <si>
    <t>ing de tacna</t>
  </si>
  <si>
    <t>GROVER SAUL SULCA ÑAUPAS</t>
  </si>
  <si>
    <t>PAEPV4MSASI-16</t>
  </si>
  <si>
    <t>grover.sulca@gmail.com</t>
  </si>
  <si>
    <t>NELIDA CASTILLO RAMIREZ</t>
  </si>
  <si>
    <t>PAEPV4MSASI-17</t>
  </si>
  <si>
    <t>nelida.castillo.15@unsch.edu.pe</t>
  </si>
  <si>
    <t>LUIS FERNANDO RAMIREZ RUIZ</t>
  </si>
  <si>
    <t>PAEPV4MSASI-06</t>
  </si>
  <si>
    <t>luisramirezruiz712@gmail.com</t>
  </si>
  <si>
    <t>GEOMINA Certificado Modular</t>
  </si>
  <si>
    <t>GEOMIA Certificado general</t>
  </si>
  <si>
    <t>https://ciiflatam.com/felicitamos-su-aprobacion-en-el-curso-perforacion-y-voladura-4-0-para-mineria-subterranea-y-superficial-aplicado-con-softwares-e-ia-les-deseamos-muchos-exitos-profesionales/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</si>
</sst>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de &quot;mmmm&quot; de &quot;yyyy"/>
    <numFmt numFmtId="165" formatCode="d/m/yy"/>
  </numFmts>
  <fonts count="1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u/>
      <color rgb="FF0000FF"/>
    </font>
    <font>
      <u/>
      <color rgb="FF0000FF"/>
    </font>
    <font>
      <sz val="8.0"/>
      <color theme="1"/>
      <name val="Century Gothic"/>
    </font>
    <font>
      <sz val="11.0"/>
      <color rgb="FF0A1C40"/>
      <name val="Arial"/>
    </font>
    <font>
      <color theme="1"/>
      <name val="Arial"/>
      <scheme val="minor"/>
    </font>
    <font>
      <u/>
      <color rgb="FF0000FF"/>
    </font>
    <font>
      <b/>
      <sz val="12.0"/>
      <color rgb="FFFFFFFF"/>
      <name val="Arial"/>
    </font>
    <font>
      <sz val="11.0"/>
      <color rgb="FF000000"/>
      <name val="Calibri"/>
    </font>
    <font>
      <b/>
      <sz val="11.0"/>
      <color rgb="FF000000"/>
      <name val="Calibri"/>
    </font>
    <font>
      <color rgb="FF434343"/>
      <name val="Roboto"/>
    </font>
    <font>
      <color rgb="FFB10202"/>
      <name val="Arial"/>
    </font>
    <font>
      <color rgb="FF0A53A8"/>
      <name val="Arial"/>
    </font>
    <font>
      <u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</border>
    <border>
      <top style="thin">
        <color rgb="FF000000"/>
      </top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left" vertical="top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center" readingOrder="0"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7" numFmtId="0" xfId="0" applyFont="1"/>
    <xf borderId="0" fillId="0" fontId="8" numFmtId="0" xfId="0" applyAlignment="1" applyFont="1">
      <alignment readingOrder="0"/>
    </xf>
    <xf borderId="0" fillId="2" fontId="1" numFmtId="0" xfId="0" applyAlignment="1" applyFont="1">
      <alignment horizontal="center" shrinkToFit="0" vertical="bottom" wrapText="1"/>
    </xf>
    <xf borderId="0" fillId="2" fontId="1" numFmtId="0" xfId="0" applyAlignment="1" applyFont="1">
      <alignment horizontal="center" vertical="bottom"/>
    </xf>
    <xf borderId="1" fillId="3" fontId="5" numFmtId="164" xfId="0" applyAlignment="1" applyBorder="1" applyFill="1" applyFont="1" applyNumberFormat="1">
      <alignment horizontal="center" readingOrder="0"/>
    </xf>
    <xf borderId="1" fillId="3" fontId="5" numFmtId="164" xfId="0" applyAlignment="1" applyBorder="1" applyFont="1" applyNumberFormat="1">
      <alignment horizontal="center"/>
    </xf>
    <xf borderId="0" fillId="3" fontId="5" numFmtId="0" xfId="0" applyAlignment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3" fontId="5" numFmtId="0" xfId="0" applyAlignment="1" applyFont="1">
      <alignment horizontal="center" readingOrder="0" vertical="top"/>
    </xf>
    <xf borderId="0" fillId="3" fontId="5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3" fontId="5" numFmtId="165" xfId="0" applyAlignment="1" applyFont="1" applyNumberFormat="1">
      <alignment horizontal="center" readingOrder="0" vertical="top"/>
    </xf>
    <xf borderId="0" fillId="4" fontId="9" numFmtId="0" xfId="0" applyAlignment="1" applyFill="1" applyFont="1">
      <alignment vertical="bottom"/>
    </xf>
    <xf borderId="0" fillId="4" fontId="9" numFmtId="0" xfId="0" applyAlignment="1" applyFont="1">
      <alignment readingOrder="0" vertical="bottom"/>
    </xf>
    <xf borderId="0" fillId="0" fontId="10" numFmtId="0" xfId="0" applyAlignment="1" applyFont="1">
      <alignment readingOrder="0" shrinkToFit="0" wrapText="0"/>
    </xf>
    <xf borderId="0" fillId="0" fontId="11" numFmtId="0" xfId="0" applyAlignment="1" applyFont="1">
      <alignment readingOrder="0" shrinkToFit="0" wrapText="0"/>
    </xf>
    <xf borderId="0" fillId="5" fontId="12" numFmtId="0" xfId="0" applyAlignment="1" applyFill="1" applyFont="1">
      <alignment horizontal="right" readingOrder="0" vertical="bottom"/>
    </xf>
    <xf borderId="0" fillId="6" fontId="12" numFmtId="0" xfId="0" applyAlignment="1" applyFill="1" applyFont="1">
      <alignment horizontal="right" readingOrder="0" vertical="bottom"/>
    </xf>
    <xf borderId="0" fillId="5" fontId="10" numFmtId="0" xfId="0" applyAlignment="1" applyFont="1">
      <alignment readingOrder="0" shrinkToFit="0" wrapText="0"/>
    </xf>
    <xf borderId="0" fillId="5" fontId="11" numFmtId="0" xfId="0" applyAlignment="1" applyFont="1">
      <alignment readingOrder="0" shrinkToFit="0" wrapText="0"/>
    </xf>
    <xf borderId="0" fillId="5" fontId="12" numFmtId="0" xfId="0" applyAlignment="1" applyFont="1">
      <alignment horizontal="right" readingOrder="0" vertical="bottom"/>
    </xf>
    <xf borderId="0" fillId="5" fontId="7" numFmtId="0" xfId="0" applyAlignment="1" applyFont="1">
      <alignment readingOrder="0"/>
    </xf>
    <xf borderId="0" fillId="6" fontId="10" numFmtId="0" xfId="0" applyAlignment="1" applyFont="1">
      <alignment readingOrder="0" shrinkToFit="0" wrapText="0"/>
    </xf>
    <xf borderId="0" fillId="6" fontId="11" numFmtId="0" xfId="0" applyAlignment="1" applyFont="1">
      <alignment readingOrder="0" shrinkToFit="0" wrapText="0"/>
    </xf>
    <xf borderId="0" fillId="6" fontId="12" numFmtId="0" xfId="0" applyAlignment="1" applyFont="1">
      <alignment horizontal="right" readingOrder="0" vertical="bottom"/>
    </xf>
    <xf borderId="0" fillId="6" fontId="7" numFmtId="0" xfId="0" applyAlignment="1" applyFont="1">
      <alignment readingOrder="0"/>
    </xf>
    <xf borderId="2" fillId="7" fontId="13" numFmtId="0" xfId="0" applyAlignment="1" applyBorder="1" applyFill="1" applyFont="1">
      <alignment shrinkToFit="0" vertical="bottom" wrapText="0"/>
    </xf>
    <xf borderId="3" fillId="8" fontId="13" numFmtId="0" xfId="0" applyAlignment="1" applyBorder="1" applyFill="1" applyFont="1">
      <alignment shrinkToFit="0" vertical="bottom" wrapText="0"/>
    </xf>
    <xf borderId="2" fillId="6" fontId="12" numFmtId="0" xfId="0" applyAlignment="1" applyBorder="1" applyFont="1">
      <alignment shrinkToFit="0" vertical="bottom" wrapText="0"/>
    </xf>
    <xf borderId="0" fillId="6" fontId="12" numFmtId="0" xfId="0" applyAlignment="1" applyFont="1">
      <alignment readingOrder="0" shrinkToFit="0" vertical="bottom" wrapText="0"/>
    </xf>
    <xf borderId="0" fillId="5" fontId="12" numFmtId="1" xfId="0" applyAlignment="1" applyFont="1" applyNumberFormat="1">
      <alignment horizontal="right" readingOrder="0" vertical="bottom"/>
    </xf>
    <xf borderId="2" fillId="7" fontId="12" numFmtId="0" xfId="0" applyAlignment="1" applyBorder="1" applyFont="1">
      <alignment shrinkToFit="0" vertical="bottom" wrapText="0"/>
    </xf>
    <xf borderId="3" fillId="5" fontId="12" numFmtId="0" xfId="0" applyAlignment="1" applyBorder="1" applyFont="1">
      <alignment shrinkToFit="0" vertical="bottom" wrapText="0"/>
    </xf>
    <xf borderId="0" fillId="5" fontId="12" numFmtId="0" xfId="0" applyAlignment="1" applyFont="1">
      <alignment readingOrder="0" shrinkToFit="0" vertical="bottom" wrapText="0"/>
    </xf>
    <xf borderId="3" fillId="7" fontId="12" numFmtId="0" xfId="0" applyAlignment="1" applyBorder="1" applyFont="1">
      <alignment shrinkToFit="0" vertical="bottom" wrapText="0"/>
    </xf>
    <xf borderId="2" fillId="9" fontId="12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horizontal="right" readingOrder="0" vertical="bottom"/>
    </xf>
    <xf borderId="3" fillId="7" fontId="12" numFmtId="0" xfId="0" applyAlignment="1" applyBorder="1" applyFont="1">
      <alignment readingOrder="0" shrinkToFit="0" vertical="bottom" wrapText="0"/>
    </xf>
    <xf borderId="0" fillId="5" fontId="12" numFmtId="0" xfId="0" applyAlignment="1" applyFont="1">
      <alignment readingOrder="0" shrinkToFit="0" vertical="bottom" wrapText="0"/>
    </xf>
    <xf borderId="3" fillId="9" fontId="12" numFmtId="0" xfId="0" applyAlignment="1" applyBorder="1" applyFont="1">
      <alignment shrinkToFit="0" vertical="bottom" wrapText="0"/>
    </xf>
    <xf borderId="4" fillId="7" fontId="12" numFmtId="0" xfId="0" applyAlignment="1" applyBorder="1" applyFont="1">
      <alignment shrinkToFit="0" vertical="bottom" wrapText="0"/>
    </xf>
    <xf borderId="2" fillId="7" fontId="14" numFmtId="0" xfId="0" applyAlignment="1" applyBorder="1" applyFont="1">
      <alignment shrinkToFit="0" vertical="bottom" wrapText="0"/>
    </xf>
    <xf borderId="5" fillId="6" fontId="7" numFmtId="0" xfId="0" applyAlignment="1" applyBorder="1" applyFont="1">
      <alignment readingOrder="0"/>
    </xf>
    <xf borderId="5" fillId="6" fontId="12" numFmtId="0" xfId="0" applyAlignment="1" applyBorder="1" applyFont="1">
      <alignment readingOrder="0" shrinkToFit="0" vertical="bottom" wrapText="0"/>
    </xf>
    <xf borderId="5" fillId="5" fontId="12" numFmtId="0" xfId="0" applyAlignment="1" applyBorder="1" applyFont="1">
      <alignment readingOrder="0" shrinkToFit="0" vertical="bottom" wrapText="0"/>
    </xf>
    <xf borderId="5" fillId="0" fontId="7" numFmtId="0" xfId="0" applyBorder="1" applyFont="1"/>
    <xf borderId="5" fillId="7" fontId="12" numFmtId="0" xfId="0" applyAlignment="1" applyBorder="1" applyFont="1">
      <alignment readingOrder="0" shrinkToFit="0" vertical="bottom" wrapText="0"/>
    </xf>
    <xf borderId="3" fillId="0" fontId="13" numFmtId="0" xfId="0" applyAlignment="1" applyBorder="1" applyFont="1">
      <alignment shrinkToFit="0" vertical="bottom" wrapText="0"/>
    </xf>
    <xf borderId="3" fillId="0" fontId="12" numFmtId="0" xfId="0" applyAlignment="1" applyBorder="1" applyFont="1">
      <alignment shrinkToFit="0" wrapText="0"/>
    </xf>
    <xf borderId="0" fillId="5" fontId="11" numFmtId="49" xfId="0" applyAlignment="1" applyFont="1" applyNumberFormat="1">
      <alignment readingOrder="0" shrinkToFit="0" wrapText="0"/>
    </xf>
    <xf borderId="0" fillId="5" fontId="2" numFmtId="0" xfId="0" applyAlignment="1" applyFont="1">
      <alignment horizontal="right" readingOrder="0" vertical="bottom"/>
    </xf>
    <xf borderId="3" fillId="7" fontId="13" numFmtId="0" xfId="0" applyAlignment="1" applyBorder="1" applyFont="1">
      <alignment readingOrder="0" shrinkToFit="0" vertical="bottom" wrapText="0"/>
    </xf>
    <xf borderId="3" fillId="7" fontId="12" numFmtId="0" xfId="0" applyAlignment="1" applyBorder="1" applyFont="1">
      <alignment readingOrder="0" shrinkToFit="0" vertical="bottom" wrapText="0"/>
    </xf>
    <xf borderId="0" fillId="6" fontId="2" numFmtId="0" xfId="0" applyAlignment="1" applyFont="1">
      <alignment horizontal="right" readingOrder="0" vertical="bottom"/>
    </xf>
    <xf borderId="2" fillId="7" fontId="13" numFmtId="0" xfId="0" applyAlignment="1" applyBorder="1" applyFont="1">
      <alignment readingOrder="0" shrinkToFit="0" vertical="bottom" wrapText="0"/>
    </xf>
    <xf borderId="2" fillId="7" fontId="12" numFmtId="0" xfId="0" applyAlignment="1" applyBorder="1" applyFont="1">
      <alignment shrinkToFit="0" vertical="bottom" wrapText="0"/>
    </xf>
    <xf borderId="3" fillId="7" fontId="12" numFmtId="0" xfId="0" applyAlignment="1" applyBorder="1" applyFont="1">
      <alignment shrinkToFit="0" vertical="bottom" wrapText="0"/>
    </xf>
    <xf borderId="3" fillId="9" fontId="12" numFmtId="0" xfId="0" applyAlignment="1" applyBorder="1" applyFont="1">
      <alignment shrinkToFit="0" vertical="bottom" wrapText="0"/>
    </xf>
    <xf borderId="3" fillId="9" fontId="13" numFmtId="0" xfId="0" applyAlignment="1" applyBorder="1" applyFont="1">
      <alignment readingOrder="0" shrinkToFit="0" vertical="bottom" wrapText="0"/>
    </xf>
    <xf borderId="0" fillId="6" fontId="13" numFmtId="0" xfId="0" applyAlignment="1" applyFont="1">
      <alignment readingOrder="0" shrinkToFit="0" vertical="bottom" wrapText="0"/>
    </xf>
    <xf borderId="0" fillId="6" fontId="2" numFmtId="0" xfId="0" applyAlignment="1" applyFont="1">
      <alignment horizontal="right" readingOrder="0" vertical="bottom"/>
    </xf>
    <xf borderId="0" fillId="0" fontId="7" numFmtId="0" xfId="0" applyAlignment="1" applyFont="1">
      <alignment readingOrder="0"/>
    </xf>
    <xf borderId="3" fillId="5" fontId="12" numFmtId="0" xfId="0" applyAlignment="1" applyBorder="1" applyFont="1">
      <alignment readingOrder="0" shrinkToFit="0" vertical="bottom" wrapText="0"/>
    </xf>
    <xf borderId="3" fillId="6" fontId="12" numFmtId="0" xfId="0" applyAlignment="1" applyBorder="1" applyFont="1">
      <alignment shrinkToFit="0" vertical="bottom" wrapText="0"/>
    </xf>
    <xf borderId="2" fillId="5" fontId="12" numFmtId="0" xfId="0" applyAlignment="1" applyBorder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3" fillId="0" fontId="12" numFmtId="0" xfId="0" applyAlignment="1" applyBorder="1" applyFont="1">
      <alignment shrinkToFit="0" vertical="bottom" wrapText="0"/>
    </xf>
    <xf borderId="2" fillId="0" fontId="12" numFmtId="0" xfId="0" applyAlignment="1" applyBorder="1" applyFont="1">
      <alignment shrinkToFit="0" vertical="bottom" wrapText="0"/>
    </xf>
    <xf borderId="2" fillId="0" fontId="12" numFmtId="0" xfId="0" applyAlignment="1" applyBorder="1" applyFont="1">
      <alignment readingOrder="0" shrinkToFit="0" vertical="bottom" wrapText="0"/>
    </xf>
    <xf borderId="3" fillId="0" fontId="12" numFmtId="49" xfId="0" applyAlignment="1" applyBorder="1" applyFont="1" applyNumberFormat="1">
      <alignment shrinkToFit="0" vertical="bottom" wrapText="0"/>
    </xf>
    <xf borderId="2" fillId="0" fontId="12" numFmtId="0" xfId="0" applyAlignment="1" applyBorder="1" applyFont="1">
      <alignment shrinkToFit="0" vertical="bottom" wrapText="0"/>
    </xf>
    <xf borderId="3" fillId="0" fontId="12" numFmtId="0" xfId="0" applyAlignment="1" applyBorder="1" applyFont="1">
      <alignment shrinkToFit="0" vertical="bottom" wrapText="0"/>
    </xf>
    <xf borderId="3" fillId="0" fontId="12" numFmtId="0" xfId="0" applyAlignment="1" applyBorder="1" applyFont="1">
      <alignment shrinkToFit="0" vertical="bottom" wrapText="0"/>
    </xf>
    <xf borderId="6" fillId="7" fontId="12" numFmtId="0" xfId="0" applyAlignment="1" applyBorder="1" applyFont="1">
      <alignment shrinkToFit="0" vertical="bottom" wrapText="0"/>
    </xf>
    <xf borderId="7" fillId="0" fontId="7" numFmtId="0" xfId="0" applyAlignment="1" applyBorder="1" applyFont="1">
      <alignment readingOrder="0"/>
    </xf>
    <xf borderId="0" fillId="7" fontId="12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9">
    <tableStyle count="2" pivot="0" name="DATOS CERTIFICADO GENERAL-style">
      <tableStyleElement dxfId="1" type="firstRowStripe"/>
      <tableStyleElement dxfId="2" type="secondRowStripe"/>
    </tableStyle>
    <tableStyle count="2" pivot="0" name="DATOS CERTIFICADO GENERAL-style 2">
      <tableStyleElement dxfId="2" type="firstRowStripe"/>
      <tableStyleElement dxfId="1" type="secondRowStripe"/>
    </tableStyle>
    <tableStyle count="2" pivot="0" name="DATOS CERTIFICADOS MODULARES-style">
      <tableStyleElement dxfId="1" type="firstRowStripe"/>
      <tableStyleElement dxfId="2" type="secondRowStripe"/>
    </tableStyle>
    <tableStyle count="2" pivot="0" name="DATOS CERTIFICADOS MODULARES-style 2">
      <tableStyleElement dxfId="1" type="firstRowStripe"/>
      <tableStyleElement dxfId="2" type="secondRowStripe"/>
    </tableStyle>
    <tableStyle count="2" pivot="0" name="INICIO 1-style">
      <tableStyleElement dxfId="1" type="firstRowStripe"/>
      <tableStyleElement dxfId="3" type="secondRowStripe"/>
    </tableStyle>
    <tableStyle count="2" pivot="0" name="INICIO 3-style">
      <tableStyleElement dxfId="1" type="firstRowStripe"/>
      <tableStyleElement dxfId="3" type="secondRowStripe"/>
    </tableStyle>
    <tableStyle count="2" pivot="0" name="INICIO 4-style">
      <tableStyleElement dxfId="1" type="firstRowStripe"/>
      <tableStyleElement dxfId="3" type="secondRowStripe"/>
    </tableStyle>
    <tableStyle count="2" pivot="0" name="COMPLETO-style">
      <tableStyleElement dxfId="1" type="firstRowStripe"/>
      <tableStyleElement dxfId="3" type="secondRowStripe"/>
    </tableStyle>
    <tableStyle count="2" pivot="0" name="COMPLETO-style 2">
      <tableStyleElement dxfId="1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2:H2" displayName="Table_1" name="Table_1" id="1">
  <tableColumns count="3">
    <tableColumn name="Column1" id="1"/>
    <tableColumn name="Column2" id="2"/>
    <tableColumn name="Column3" id="3"/>
  </tableColumns>
  <tableStyleInfo name="DATOS CERTIFICADO GENERAL-style" showColumnStripes="0" showFirstColumn="1" showLastColumn="1" showRowStripes="1"/>
</table>
</file>

<file path=xl/tables/table2.xml><?xml version="1.0" encoding="utf-8"?>
<table xmlns="http://schemas.openxmlformats.org/spreadsheetml/2006/main" headerRowCount="0" ref="H14:I22" displayName="Table_2" name="Table_2" id="2">
  <tableColumns count="2">
    <tableColumn name="Column1" id="1"/>
    <tableColumn name="Column2" id="2"/>
  </tableColumns>
  <tableStyleInfo name="DATOS CERTIFICADO GENERAL-style 2" showColumnStripes="0" showFirstColumn="1" showLastColumn="1" showRowStripes="1"/>
</table>
</file>

<file path=xl/tables/table3.xml><?xml version="1.0" encoding="utf-8"?>
<table xmlns="http://schemas.openxmlformats.org/spreadsheetml/2006/main" headerRowCount="0" ref="C2:D30" displayName="Table_3" name="Table_3" id="3">
  <tableColumns count="2">
    <tableColumn name="Column1" id="1"/>
    <tableColumn name="Column2" id="2"/>
  </tableColumns>
  <tableStyleInfo name="DATOS CERTIFICADOS MODULARES-style" showColumnStripes="0" showFirstColumn="1" showLastColumn="1" showRowStripes="1"/>
</table>
</file>

<file path=xl/tables/table4.xml><?xml version="1.0" encoding="utf-8"?>
<table xmlns="http://schemas.openxmlformats.org/spreadsheetml/2006/main" headerRowCount="0" ref="E2:H11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DATOS CERTIFICADOS MODULARES-style 2" showColumnStripes="0" showFirstColumn="1" showLastColumn="1" showRowStripes="1"/>
</table>
</file>

<file path=xl/tables/table5.xml><?xml version="1.0" encoding="utf-8"?>
<table xmlns="http://schemas.openxmlformats.org/spreadsheetml/2006/main" headerRowCount="0" ref="N3:O20" displayName="Table_5" name="Table_5" id="5">
  <tableColumns count="2">
    <tableColumn name="Column1" id="1"/>
    <tableColumn name="Column2" id="2"/>
  </tableColumns>
  <tableStyleInfo name="INICIO 1-style" showColumnStripes="0" showFirstColumn="1" showLastColumn="1" showRowStripes="1"/>
</table>
</file>

<file path=xl/tables/table6.xml><?xml version="1.0" encoding="utf-8"?>
<table xmlns="http://schemas.openxmlformats.org/spreadsheetml/2006/main" headerRowCount="0" ref="A2:L3" displayName="Table_6" name="Table_6" id="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INICIO 3-style" showColumnStripes="0" showFirstColumn="1" showLastColumn="1" showRowStripes="1"/>
</table>
</file>

<file path=xl/tables/table7.xml><?xml version="1.0" encoding="utf-8"?>
<table xmlns="http://schemas.openxmlformats.org/spreadsheetml/2006/main" headerRowCount="0" ref="B2:O8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INICIO 4-style" showColumnStripes="0" showFirstColumn="1" showLastColumn="1" showRowStripes="1"/>
</table>
</file>

<file path=xl/tables/table8.xml><?xml version="1.0" encoding="utf-8"?>
<table xmlns="http://schemas.openxmlformats.org/spreadsheetml/2006/main" headerRowCount="0" ref="A3:B37" displayName="Table_8" name="Table_8" id="8">
  <tableColumns count="2">
    <tableColumn name="Column1" id="1"/>
    <tableColumn name="Column2" id="2"/>
  </tableColumns>
  <tableStyleInfo name="COMPLETO-style" showColumnStripes="0" showFirstColumn="1" showLastColumn="1" showRowStripes="1"/>
</table>
</file>

<file path=xl/tables/table9.xml><?xml version="1.0" encoding="utf-8"?>
<table xmlns="http://schemas.openxmlformats.org/spreadsheetml/2006/main" headerRowCount="0" ref="A38:B38" displayName="Table_9" name="Table_9" id="9">
  <tableColumns count="2">
    <tableColumn name="Column1" id="1"/>
    <tableColumn name="Column2" id="2"/>
  </tableColumns>
  <tableStyleInfo name="COMPLET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6rGmYb8DwXUYlycu1e-e7UN0fBdU77Lj&amp;usp=drive_copy" TargetMode="External"/><Relationship Id="rId2" Type="http://schemas.openxmlformats.org/officeDocument/2006/relationships/hyperlink" Target="https://drive.google.com/open?id=1vW5Tzo5ch5vGPJ8nq6s8OrrpKQVJ5-sa&amp;usp=drive_copy" TargetMode="External"/><Relationship Id="rId3" Type="http://schemas.openxmlformats.org/officeDocument/2006/relationships/hyperlink" Target="https://drive.google.com/open?id=1I69vzx7J5DDWuxh2vc2MM0DnF0O1bqqM&amp;usp=drive_copy" TargetMode="External"/><Relationship Id="rId4" Type="http://schemas.openxmlformats.org/officeDocument/2006/relationships/hyperlink" Target="https://drive.google.com/open?id=1G_vJgMPzyMp70G0Mad_Vgn6I2OL7M1Jc&amp;usp=drive_copy" TargetMode="External"/><Relationship Id="rId9" Type="http://schemas.openxmlformats.org/officeDocument/2006/relationships/table" Target="../tables/table2.xml"/><Relationship Id="rId5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6rGmYb8DwXUYlycu1e-e7UN0fBdU77Lj&amp;usp=drive_copy" TargetMode="External"/><Relationship Id="rId22" Type="http://schemas.openxmlformats.org/officeDocument/2006/relationships/hyperlink" Target="https://drive.google.com/open?id=1vW5Tzo5ch5vGPJ8nq6s8OrrpKQVJ5-sa&amp;usp=drive_copy" TargetMode="External"/><Relationship Id="rId21" Type="http://schemas.openxmlformats.org/officeDocument/2006/relationships/hyperlink" Target="https://drive.google.com/open?id=1yJXCaGcNOEgZB7pnHzsRtFR4rnZAlJaT&amp;usp=drive_copy" TargetMode="External"/><Relationship Id="rId24" Type="http://schemas.openxmlformats.org/officeDocument/2006/relationships/hyperlink" Target="https://drive.google.com/open?id=1yJXCaGcNOEgZB7pnHzsRtFR4rnZAlJaT&amp;usp=drive_copy" TargetMode="External"/><Relationship Id="rId23" Type="http://schemas.openxmlformats.org/officeDocument/2006/relationships/hyperlink" Target="https://drive.google.com/open?id=16rGmYb8DwXUYlycu1e-e7UN0fBdU77Lj&amp;usp=drive_copy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6rGmYb8DwXUYlycu1e-e7UN0fBdU77Lj&amp;usp=drive_copy" TargetMode="External"/><Relationship Id="rId3" Type="http://schemas.openxmlformats.org/officeDocument/2006/relationships/hyperlink" Target="https://drive.google.com/open?id=1yJXCaGcNOEgZB7pnHzsRtFR4rnZAlJaT&amp;usp=drive_copy" TargetMode="External"/><Relationship Id="rId4" Type="http://schemas.openxmlformats.org/officeDocument/2006/relationships/hyperlink" Target="https://drive.google.com/open?id=1vW5Tzo5ch5vGPJ8nq6s8OrrpKQVJ5-sa&amp;usp=drive_copy" TargetMode="External"/><Relationship Id="rId9" Type="http://schemas.openxmlformats.org/officeDocument/2006/relationships/hyperlink" Target="https://drive.google.com/open?id=1yJXCaGcNOEgZB7pnHzsRtFR4rnZAlJaT&amp;usp=drive_copy" TargetMode="External"/><Relationship Id="rId26" Type="http://schemas.openxmlformats.org/officeDocument/2006/relationships/hyperlink" Target="https://drive.google.com/open?id=16rGmYb8DwXUYlycu1e-e7UN0fBdU77Lj&amp;usp=drive_copy" TargetMode="External"/><Relationship Id="rId25" Type="http://schemas.openxmlformats.org/officeDocument/2006/relationships/hyperlink" Target="https://drive.google.com/open?id=1vW5Tzo5ch5vGPJ8nq6s8OrrpKQVJ5-sa&amp;usp=drive_copy" TargetMode="External"/><Relationship Id="rId28" Type="http://schemas.openxmlformats.org/officeDocument/2006/relationships/hyperlink" Target="https://drive.google.com/open?id=1vW5Tzo5ch5vGPJ8nq6s8OrrpKQVJ5-sa&amp;usp=drive_copy" TargetMode="External"/><Relationship Id="rId27" Type="http://schemas.openxmlformats.org/officeDocument/2006/relationships/hyperlink" Target="https://drive.google.com/open?id=1yJXCaGcNOEgZB7pnHzsRtFR4rnZAlJaT&amp;usp=drive_copy" TargetMode="External"/><Relationship Id="rId5" Type="http://schemas.openxmlformats.org/officeDocument/2006/relationships/hyperlink" Target="https://drive.google.com/open?id=16rGmYb8DwXUYlycu1e-e7UN0fBdU77Lj&amp;usp=drive_copy" TargetMode="External"/><Relationship Id="rId6" Type="http://schemas.openxmlformats.org/officeDocument/2006/relationships/hyperlink" Target="https://drive.google.com/open?id=1yJXCaGcNOEgZB7pnHzsRtFR4rnZAlJaT&amp;usp=drive_copy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drive.google.com/open?id=1vW5Tzo5ch5vGPJ8nq6s8OrrpKQVJ5-sa&amp;usp=drive_copy" TargetMode="External"/><Relationship Id="rId8" Type="http://schemas.openxmlformats.org/officeDocument/2006/relationships/hyperlink" Target="https://drive.google.com/open?id=16rGmYb8DwXUYlycu1e-e7UN0fBdU77Lj&amp;usp=drive_copy" TargetMode="External"/><Relationship Id="rId30" Type="http://schemas.openxmlformats.org/officeDocument/2006/relationships/vmlDrawing" Target="../drawings/vmlDrawing1.vml"/><Relationship Id="rId11" Type="http://schemas.openxmlformats.org/officeDocument/2006/relationships/hyperlink" Target="https://drive.google.com/open?id=16rGmYb8DwXUYlycu1e-e7UN0fBdU77Lj&amp;usp=drive_copy" TargetMode="External"/><Relationship Id="rId33" Type="http://schemas.openxmlformats.org/officeDocument/2006/relationships/table" Target="../tables/table3.xml"/><Relationship Id="rId10" Type="http://schemas.openxmlformats.org/officeDocument/2006/relationships/hyperlink" Target="https://drive.google.com/open?id=1vW5Tzo5ch5vGPJ8nq6s8OrrpKQVJ5-sa&amp;usp=drive_copy" TargetMode="External"/><Relationship Id="rId13" Type="http://schemas.openxmlformats.org/officeDocument/2006/relationships/hyperlink" Target="https://drive.google.com/open?id=1vW5Tzo5ch5vGPJ8nq6s8OrrpKQVJ5-sa&amp;usp=drive_copy" TargetMode="External"/><Relationship Id="rId12" Type="http://schemas.openxmlformats.org/officeDocument/2006/relationships/hyperlink" Target="https://drive.google.com/open?id=1yJXCaGcNOEgZB7pnHzsRtFR4rnZAlJaT&amp;usp=drive_copy" TargetMode="External"/><Relationship Id="rId34" Type="http://schemas.openxmlformats.org/officeDocument/2006/relationships/table" Target="../tables/table4.xml"/><Relationship Id="rId15" Type="http://schemas.openxmlformats.org/officeDocument/2006/relationships/hyperlink" Target="https://drive.google.com/open?id=1yJXCaGcNOEgZB7pnHzsRtFR4rnZAlJaT&amp;usp=drive_copy" TargetMode="External"/><Relationship Id="rId14" Type="http://schemas.openxmlformats.org/officeDocument/2006/relationships/hyperlink" Target="https://drive.google.com/open?id=16rGmYb8DwXUYlycu1e-e7UN0fBdU77Lj&amp;usp=drive_copy" TargetMode="External"/><Relationship Id="rId17" Type="http://schemas.openxmlformats.org/officeDocument/2006/relationships/hyperlink" Target="https://drive.google.com/open?id=16rGmYb8DwXUYlycu1e-e7UN0fBdU77Lj&amp;usp=drive_copy" TargetMode="External"/><Relationship Id="rId16" Type="http://schemas.openxmlformats.org/officeDocument/2006/relationships/hyperlink" Target="https://drive.google.com/open?id=1vW5Tzo5ch5vGPJ8nq6s8OrrpKQVJ5-sa&amp;usp=drive_copy" TargetMode="External"/><Relationship Id="rId19" Type="http://schemas.openxmlformats.org/officeDocument/2006/relationships/hyperlink" Target="https://drive.google.com/open?id=1vW5Tzo5ch5vGPJ8nq6s8OrrpKQVJ5-sa&amp;usp=drive_copy" TargetMode="External"/><Relationship Id="rId18" Type="http://schemas.openxmlformats.org/officeDocument/2006/relationships/hyperlink" Target="https://drive.google.com/open?id=1yJXCaGcNOEgZB7pnHzsRtFR4rnZAlJaT&amp;usp=drive_copy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dOwbPowv4YTG8hcitaoj1mMPza2LkivvFH7dTdMIN9Y/edit?slide=id.g3de0fb7eb84_0_4" TargetMode="External"/><Relationship Id="rId2" Type="http://schemas.openxmlformats.org/officeDocument/2006/relationships/hyperlink" Target="https://docs.google.com/presentation/d/1NrRM9eKrktlLzadiTex9MxeNoxASBymoo22nVWcLa5U/edit?slide=id.p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ciiflatam.com/felicitamos-su-aprobacion-en-el-curso-perforacion-y-voladura-4-0-para-mineria-subterranea-y-superficial-aplicado-con-softwares-e-ia-les-deseamos-muchos-exitos-profesionales/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19.88"/>
    <col customWidth="1" min="3" max="3" width="17.38"/>
    <col customWidth="1" min="4" max="4" width="16.5"/>
    <col customWidth="1" min="7" max="7" width="16.13"/>
    <col customWidth="1" min="8" max="8" width="11.5"/>
    <col customWidth="1" min="9" max="9" width="15.63"/>
    <col customWidth="1" min="10" max="10" width="16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4">
        <v>45941.0</v>
      </c>
      <c r="C2" s="5">
        <v>46061.0</v>
      </c>
      <c r="D2" s="5">
        <v>46061.0</v>
      </c>
      <c r="E2" s="6">
        <v>350.0</v>
      </c>
      <c r="F2" s="7" t="s">
        <v>23</v>
      </c>
      <c r="G2" s="8" t="s">
        <v>24</v>
      </c>
      <c r="J2" s="9" t="s">
        <v>25</v>
      </c>
      <c r="K2" s="10" t="s">
        <v>26</v>
      </c>
      <c r="L2" s="10" t="s">
        <v>27</v>
      </c>
      <c r="M2" s="10" t="s">
        <v>28</v>
      </c>
      <c r="N2" s="10" t="s">
        <v>29</v>
      </c>
      <c r="O2" s="10" t="s">
        <v>30</v>
      </c>
      <c r="P2" s="10" t="s">
        <v>31</v>
      </c>
      <c r="Q2" s="10" t="s">
        <v>32</v>
      </c>
      <c r="R2" s="10" t="s">
        <v>33</v>
      </c>
      <c r="S2" s="10" t="s">
        <v>34</v>
      </c>
      <c r="T2" s="11"/>
      <c r="U2" s="11"/>
      <c r="V2" s="12"/>
    </row>
    <row r="14">
      <c r="I14" s="13"/>
    </row>
    <row r="15">
      <c r="I15" s="13"/>
    </row>
    <row r="16">
      <c r="H16" s="14" t="s">
        <v>35</v>
      </c>
      <c r="I16" s="9" t="s">
        <v>36</v>
      </c>
    </row>
    <row r="17">
      <c r="I17" s="13"/>
    </row>
    <row r="18">
      <c r="I18" s="13"/>
    </row>
    <row r="19">
      <c r="I19" s="13"/>
    </row>
    <row r="20">
      <c r="I20" s="13"/>
    </row>
    <row r="22">
      <c r="I22" s="13"/>
    </row>
  </sheetData>
  <hyperlinks>
    <hyperlink r:id="rId1" ref="F2"/>
    <hyperlink r:id="rId2" ref="J2"/>
    <hyperlink r:id="rId3" ref="H16"/>
    <hyperlink r:id="rId4" ref="I16"/>
  </hyperlinks>
  <drawing r:id="rId5"/>
  <tableParts count="2"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9.13"/>
    <col customWidth="1" min="3" max="5" width="17.5"/>
    <col customWidth="1" min="12" max="12" width="84.13"/>
  </cols>
  <sheetData>
    <row r="1">
      <c r="A1" s="1" t="s">
        <v>0</v>
      </c>
      <c r="B1" s="1" t="s">
        <v>37</v>
      </c>
      <c r="C1" s="1" t="s">
        <v>1</v>
      </c>
      <c r="D1" s="1" t="s">
        <v>2</v>
      </c>
      <c r="E1" s="1" t="s">
        <v>3</v>
      </c>
      <c r="F1" s="1" t="s">
        <v>4</v>
      </c>
      <c r="G1" s="15" t="s">
        <v>5</v>
      </c>
      <c r="H1" s="15" t="s">
        <v>6</v>
      </c>
      <c r="I1" s="15" t="s">
        <v>38</v>
      </c>
      <c r="J1" s="15" t="s">
        <v>39</v>
      </c>
      <c r="K1" s="16" t="s">
        <v>9</v>
      </c>
      <c r="L1" s="1" t="s">
        <v>40</v>
      </c>
    </row>
    <row r="2">
      <c r="A2" s="3" t="s">
        <v>22</v>
      </c>
      <c r="B2" s="10" t="s">
        <v>26</v>
      </c>
      <c r="C2" s="17">
        <v>45941.0</v>
      </c>
      <c r="D2" s="18">
        <v>45955.0</v>
      </c>
      <c r="E2" s="18">
        <v>45955.0</v>
      </c>
      <c r="F2" s="19">
        <v>40.0</v>
      </c>
      <c r="G2" s="7" t="s">
        <v>41</v>
      </c>
      <c r="H2" s="8" t="s">
        <v>24</v>
      </c>
      <c r="I2" s="7" t="s">
        <v>42</v>
      </c>
      <c r="J2" s="6" t="s">
        <v>43</v>
      </c>
      <c r="K2" s="7" t="s">
        <v>44</v>
      </c>
      <c r="L2" s="20" t="s">
        <v>45</v>
      </c>
    </row>
    <row r="3">
      <c r="A3" s="3" t="s">
        <v>22</v>
      </c>
      <c r="B3" s="10" t="s">
        <v>27</v>
      </c>
      <c r="C3" s="18">
        <v>45956.0</v>
      </c>
      <c r="D3" s="18">
        <v>45963.0</v>
      </c>
      <c r="E3" s="18">
        <v>45963.0</v>
      </c>
      <c r="F3" s="19">
        <v>40.0</v>
      </c>
      <c r="G3" s="7" t="s">
        <v>46</v>
      </c>
      <c r="H3" s="8" t="s">
        <v>24</v>
      </c>
      <c r="I3" s="7" t="s">
        <v>47</v>
      </c>
      <c r="J3" s="6" t="s">
        <v>43</v>
      </c>
      <c r="K3" s="7" t="s">
        <v>48</v>
      </c>
      <c r="L3" s="21" t="s">
        <v>49</v>
      </c>
    </row>
    <row r="4">
      <c r="A4" s="3" t="s">
        <v>22</v>
      </c>
      <c r="B4" s="10" t="s">
        <v>28</v>
      </c>
      <c r="C4" s="18">
        <v>45969.0</v>
      </c>
      <c r="D4" s="18">
        <v>45976.0</v>
      </c>
      <c r="E4" s="18">
        <v>45976.0</v>
      </c>
      <c r="F4" s="19">
        <v>40.0</v>
      </c>
      <c r="G4" s="7" t="s">
        <v>50</v>
      </c>
      <c r="H4" s="8" t="s">
        <v>24</v>
      </c>
      <c r="I4" s="7" t="s">
        <v>51</v>
      </c>
      <c r="J4" s="6" t="s">
        <v>43</v>
      </c>
      <c r="K4" s="7" t="s">
        <v>52</v>
      </c>
      <c r="L4" s="21" t="s">
        <v>53</v>
      </c>
    </row>
    <row r="5">
      <c r="A5" s="3" t="s">
        <v>22</v>
      </c>
      <c r="B5" s="10" t="s">
        <v>29</v>
      </c>
      <c r="C5" s="18">
        <v>45977.0</v>
      </c>
      <c r="D5" s="18">
        <v>45998.0</v>
      </c>
      <c r="E5" s="18">
        <v>45998.0</v>
      </c>
      <c r="F5" s="19">
        <v>40.0</v>
      </c>
      <c r="G5" s="7" t="s">
        <v>54</v>
      </c>
      <c r="H5" s="8" t="s">
        <v>24</v>
      </c>
      <c r="I5" s="7" t="s">
        <v>55</v>
      </c>
      <c r="J5" s="6" t="s">
        <v>43</v>
      </c>
      <c r="K5" s="7" t="s">
        <v>56</v>
      </c>
      <c r="L5" s="21" t="s">
        <v>57</v>
      </c>
    </row>
    <row r="6">
      <c r="A6" s="3" t="s">
        <v>22</v>
      </c>
      <c r="B6" s="10" t="s">
        <v>30</v>
      </c>
      <c r="C6" s="18">
        <v>46004.0</v>
      </c>
      <c r="D6" s="18">
        <v>46012.0</v>
      </c>
      <c r="E6" s="18">
        <v>46012.0</v>
      </c>
      <c r="F6" s="19">
        <v>50.0</v>
      </c>
      <c r="G6" s="7" t="s">
        <v>58</v>
      </c>
      <c r="H6" s="8" t="s">
        <v>24</v>
      </c>
      <c r="I6" s="7" t="s">
        <v>59</v>
      </c>
      <c r="J6" s="6" t="s">
        <v>43</v>
      </c>
      <c r="K6" s="7" t="s">
        <v>60</v>
      </c>
      <c r="L6" s="21" t="s">
        <v>61</v>
      </c>
    </row>
    <row r="7">
      <c r="A7" s="3" t="s">
        <v>22</v>
      </c>
      <c r="B7" s="10" t="s">
        <v>31</v>
      </c>
      <c r="C7" s="18">
        <v>46018.0</v>
      </c>
      <c r="D7" s="18">
        <v>46026.0</v>
      </c>
      <c r="E7" s="18">
        <v>46026.0</v>
      </c>
      <c r="F7" s="19">
        <v>40.0</v>
      </c>
      <c r="G7" s="7" t="s">
        <v>62</v>
      </c>
      <c r="H7" s="8" t="s">
        <v>24</v>
      </c>
      <c r="I7" s="7" t="s">
        <v>63</v>
      </c>
      <c r="J7" s="6" t="s">
        <v>43</v>
      </c>
      <c r="K7" s="7" t="s">
        <v>64</v>
      </c>
      <c r="L7" s="22" t="s">
        <v>65</v>
      </c>
    </row>
    <row r="8">
      <c r="A8" s="3" t="s">
        <v>22</v>
      </c>
      <c r="B8" s="10" t="s">
        <v>32</v>
      </c>
      <c r="C8" s="18">
        <v>46032.0</v>
      </c>
      <c r="D8" s="18">
        <v>46033.0</v>
      </c>
      <c r="E8" s="18">
        <v>46033.0</v>
      </c>
      <c r="F8" s="19">
        <v>30.0</v>
      </c>
      <c r="G8" s="7" t="s">
        <v>66</v>
      </c>
      <c r="H8" s="8" t="s">
        <v>24</v>
      </c>
      <c r="I8" s="7" t="s">
        <v>67</v>
      </c>
      <c r="J8" s="6" t="s">
        <v>43</v>
      </c>
      <c r="K8" s="7" t="s">
        <v>68</v>
      </c>
      <c r="L8" s="22" t="s">
        <v>69</v>
      </c>
    </row>
    <row r="9">
      <c r="A9" s="3" t="s">
        <v>22</v>
      </c>
      <c r="B9" s="10" t="s">
        <v>33</v>
      </c>
      <c r="C9" s="18">
        <v>46039.0</v>
      </c>
      <c r="D9" s="18">
        <v>46047.0</v>
      </c>
      <c r="E9" s="18">
        <v>46047.0</v>
      </c>
      <c r="F9" s="19">
        <v>35.0</v>
      </c>
      <c r="G9" s="7" t="s">
        <v>70</v>
      </c>
      <c r="H9" s="8" t="s">
        <v>24</v>
      </c>
      <c r="I9" s="7" t="s">
        <v>71</v>
      </c>
      <c r="J9" s="6" t="s">
        <v>43</v>
      </c>
      <c r="K9" s="7" t="s">
        <v>72</v>
      </c>
      <c r="L9" s="22" t="s">
        <v>73</v>
      </c>
    </row>
    <row r="10">
      <c r="A10" s="3" t="s">
        <v>22</v>
      </c>
      <c r="B10" s="10" t="s">
        <v>34</v>
      </c>
      <c r="C10" s="18">
        <v>46053.0</v>
      </c>
      <c r="D10" s="18">
        <v>46061.0</v>
      </c>
      <c r="E10" s="18">
        <v>46061.0</v>
      </c>
      <c r="F10" s="19">
        <v>35.0</v>
      </c>
      <c r="G10" s="7" t="s">
        <v>74</v>
      </c>
      <c r="H10" s="8" t="s">
        <v>24</v>
      </c>
      <c r="I10" s="7" t="s">
        <v>75</v>
      </c>
      <c r="J10" s="6" t="s">
        <v>43</v>
      </c>
      <c r="K10" s="7" t="s">
        <v>76</v>
      </c>
      <c r="L10" s="22" t="s">
        <v>77</v>
      </c>
    </row>
    <row r="11">
      <c r="C11" s="23"/>
      <c r="D11" s="23"/>
      <c r="E11" s="24"/>
      <c r="F11" s="23">
        <f>SUM(F2:F10)</f>
        <v>350</v>
      </c>
      <c r="G11" s="25"/>
      <c r="H11" s="25"/>
    </row>
    <row r="15">
      <c r="C15" s="26"/>
      <c r="D15" s="26"/>
    </row>
    <row r="16">
      <c r="C16" s="26"/>
      <c r="D16" s="26"/>
    </row>
    <row r="17">
      <c r="C17" s="26"/>
      <c r="D17" s="26"/>
    </row>
    <row r="18">
      <c r="C18" s="26"/>
      <c r="D18" s="26"/>
    </row>
    <row r="19">
      <c r="C19" s="26"/>
      <c r="D19" s="26"/>
    </row>
    <row r="20">
      <c r="C20" s="26"/>
      <c r="D20" s="26"/>
    </row>
    <row r="21">
      <c r="C21" s="26"/>
      <c r="D21" s="26"/>
    </row>
    <row r="22">
      <c r="C22" s="26"/>
      <c r="D22" s="26"/>
    </row>
    <row r="23">
      <c r="C23" s="23"/>
      <c r="D23" s="23"/>
    </row>
    <row r="24">
      <c r="C24" s="23"/>
      <c r="D24" s="23"/>
    </row>
    <row r="25">
      <c r="C25" s="23"/>
      <c r="D25" s="23"/>
    </row>
    <row r="27">
      <c r="C27" s="23"/>
      <c r="D27" s="23"/>
    </row>
    <row r="28">
      <c r="C28" s="23"/>
      <c r="D28" s="23"/>
    </row>
    <row r="29">
      <c r="C29" s="23"/>
      <c r="D29" s="23"/>
    </row>
    <row r="30">
      <c r="C30" s="23"/>
      <c r="D30" s="23"/>
    </row>
  </sheetData>
  <hyperlinks>
    <hyperlink r:id="rId2" ref="G2"/>
    <hyperlink r:id="rId3" ref="I2"/>
    <hyperlink r:id="rId4" ref="K2"/>
    <hyperlink r:id="rId5" ref="G3"/>
    <hyperlink r:id="rId6" ref="I3"/>
    <hyperlink r:id="rId7" ref="K3"/>
    <hyperlink r:id="rId8" ref="G4"/>
    <hyperlink r:id="rId9" ref="I4"/>
    <hyperlink r:id="rId10" ref="K4"/>
    <hyperlink r:id="rId11" ref="G5"/>
    <hyperlink r:id="rId12" ref="I5"/>
    <hyperlink r:id="rId13" ref="K5"/>
    <hyperlink r:id="rId14" ref="G6"/>
    <hyperlink r:id="rId15" ref="I6"/>
    <hyperlink r:id="rId16" ref="K6"/>
    <hyperlink r:id="rId17" ref="G7"/>
    <hyperlink r:id="rId18" ref="I7"/>
    <hyperlink r:id="rId19" ref="K7"/>
    <hyperlink r:id="rId20" ref="G8"/>
    <hyperlink r:id="rId21" ref="I8"/>
    <hyperlink r:id="rId22" ref="K8"/>
    <hyperlink r:id="rId23" ref="G9"/>
    <hyperlink r:id="rId24" ref="I9"/>
    <hyperlink r:id="rId25" ref="K9"/>
    <hyperlink r:id="rId26" ref="G10"/>
    <hyperlink r:id="rId27" ref="I10"/>
    <hyperlink r:id="rId28" ref="K10"/>
  </hyperlinks>
  <drawing r:id="rId29"/>
  <legacyDrawing r:id="rId30"/>
  <tableParts count="2">
    <tablePart r:id="rId33"/>
    <tablePart r:id="rId3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14.13"/>
  </cols>
  <sheetData>
    <row r="1">
      <c r="A1" s="27" t="s">
        <v>78</v>
      </c>
      <c r="B1" s="27" t="s">
        <v>79</v>
      </c>
      <c r="C1" s="27" t="s">
        <v>80</v>
      </c>
      <c r="D1" s="27" t="s">
        <v>81</v>
      </c>
      <c r="E1" s="28" t="s">
        <v>82</v>
      </c>
      <c r="F1" s="27" t="s">
        <v>83</v>
      </c>
      <c r="G1" s="27" t="s">
        <v>84</v>
      </c>
      <c r="H1" s="27" t="s">
        <v>85</v>
      </c>
      <c r="I1" s="27" t="s">
        <v>86</v>
      </c>
      <c r="J1" s="27" t="s">
        <v>87</v>
      </c>
      <c r="K1" s="27" t="s">
        <v>88</v>
      </c>
      <c r="L1" s="27" t="s">
        <v>89</v>
      </c>
      <c r="M1" s="27" t="s">
        <v>90</v>
      </c>
      <c r="N1" s="27" t="s">
        <v>91</v>
      </c>
      <c r="O1" s="27"/>
      <c r="P1" s="27"/>
    </row>
    <row r="2">
      <c r="A2" s="29" t="s">
        <v>92</v>
      </c>
      <c r="B2" s="30" t="s">
        <v>93</v>
      </c>
      <c r="C2" s="31">
        <v>2.0</v>
      </c>
      <c r="D2" s="22">
        <v>26.0</v>
      </c>
      <c r="E2" s="32">
        <v>19.0</v>
      </c>
      <c r="F2" s="32">
        <v>19.0</v>
      </c>
      <c r="G2" s="32">
        <v>19.0</v>
      </c>
      <c r="H2" s="32">
        <v>19.0</v>
      </c>
      <c r="I2" s="32">
        <v>19.0</v>
      </c>
      <c r="J2" s="32">
        <v>19.0</v>
      </c>
      <c r="K2" s="32">
        <v>19.0</v>
      </c>
      <c r="L2" s="32">
        <v>19.0</v>
      </c>
      <c r="M2" s="32">
        <v>19.0</v>
      </c>
      <c r="N2" s="32">
        <v>19.0</v>
      </c>
      <c r="O2" s="22" t="s">
        <v>94</v>
      </c>
    </row>
    <row r="3">
      <c r="A3" s="33" t="s">
        <v>95</v>
      </c>
      <c r="B3" s="34" t="s">
        <v>96</v>
      </c>
      <c r="C3" s="35">
        <v>2.0</v>
      </c>
      <c r="D3" s="36">
        <v>26.0</v>
      </c>
      <c r="E3" s="35">
        <v>19.0</v>
      </c>
      <c r="F3" s="35">
        <v>19.0</v>
      </c>
      <c r="G3" s="32">
        <v>19.0</v>
      </c>
      <c r="H3" s="32">
        <v>19.0</v>
      </c>
      <c r="I3" s="32">
        <v>19.0</v>
      </c>
      <c r="J3" s="35">
        <v>19.0</v>
      </c>
      <c r="K3" s="35">
        <v>19.0</v>
      </c>
      <c r="L3" s="35">
        <v>19.0</v>
      </c>
      <c r="M3" s="32">
        <v>19.0</v>
      </c>
      <c r="N3" s="32">
        <v>19.0</v>
      </c>
      <c r="O3" s="22" t="s">
        <v>97</v>
      </c>
    </row>
    <row r="4">
      <c r="A4" s="37" t="s">
        <v>98</v>
      </c>
      <c r="B4" s="38" t="s">
        <v>99</v>
      </c>
      <c r="C4" s="39">
        <v>2.0</v>
      </c>
      <c r="D4" s="40">
        <v>26.0</v>
      </c>
      <c r="E4" s="39">
        <v>19.0</v>
      </c>
      <c r="F4" s="39">
        <v>19.0</v>
      </c>
      <c r="G4" s="32">
        <v>19.0</v>
      </c>
      <c r="H4" s="32">
        <v>19.0</v>
      </c>
      <c r="I4" s="32">
        <v>19.0</v>
      </c>
      <c r="J4" s="32">
        <v>19.0</v>
      </c>
      <c r="K4" s="32">
        <v>19.0</v>
      </c>
      <c r="L4" s="32">
        <v>19.0</v>
      </c>
      <c r="M4" s="32">
        <v>19.0</v>
      </c>
      <c r="N4" s="32">
        <v>19.0</v>
      </c>
      <c r="O4" s="22" t="s">
        <v>100</v>
      </c>
    </row>
    <row r="5">
      <c r="A5" s="33" t="s">
        <v>101</v>
      </c>
      <c r="B5" s="34" t="s">
        <v>102</v>
      </c>
      <c r="C5" s="35">
        <v>2.0</v>
      </c>
      <c r="D5" s="36">
        <v>26.0</v>
      </c>
      <c r="E5" s="35">
        <v>19.0</v>
      </c>
      <c r="F5" s="35">
        <v>19.0</v>
      </c>
      <c r="G5" s="32">
        <v>19.0</v>
      </c>
      <c r="H5" s="32">
        <v>19.0</v>
      </c>
      <c r="I5" s="32">
        <v>19.0</v>
      </c>
      <c r="J5" s="32">
        <v>19.0</v>
      </c>
      <c r="K5" s="32">
        <v>19.0</v>
      </c>
      <c r="L5" s="32">
        <v>19.0</v>
      </c>
      <c r="M5" s="32">
        <v>19.0</v>
      </c>
      <c r="N5" s="32">
        <v>19.0</v>
      </c>
      <c r="O5" s="22" t="s">
        <v>103</v>
      </c>
    </row>
    <row r="6">
      <c r="A6" s="37" t="s">
        <v>104</v>
      </c>
      <c r="B6" s="38" t="s">
        <v>105</v>
      </c>
      <c r="C6" s="39">
        <v>2.0</v>
      </c>
      <c r="D6" s="40">
        <v>26.0</v>
      </c>
      <c r="E6" s="39">
        <v>19.0</v>
      </c>
      <c r="F6" s="39">
        <v>19.0</v>
      </c>
      <c r="G6" s="32">
        <v>19.0</v>
      </c>
      <c r="H6" s="32">
        <v>19.0</v>
      </c>
      <c r="I6" s="32">
        <v>19.0</v>
      </c>
      <c r="J6" s="32">
        <v>19.0</v>
      </c>
      <c r="K6" s="32">
        <v>19.0</v>
      </c>
      <c r="L6" s="32">
        <v>19.0</v>
      </c>
      <c r="M6" s="32">
        <v>19.0</v>
      </c>
      <c r="N6" s="32">
        <v>19.0</v>
      </c>
      <c r="O6" s="22" t="s">
        <v>106</v>
      </c>
    </row>
    <row r="7">
      <c r="A7" s="33" t="s">
        <v>107</v>
      </c>
      <c r="B7" s="34" t="s">
        <v>108</v>
      </c>
      <c r="C7" s="35">
        <v>2.0</v>
      </c>
      <c r="D7" s="36">
        <v>26.0</v>
      </c>
      <c r="E7" s="35">
        <v>19.0</v>
      </c>
      <c r="F7" s="35">
        <v>19.0</v>
      </c>
      <c r="G7" s="32">
        <v>19.0</v>
      </c>
      <c r="H7" s="32">
        <v>19.0</v>
      </c>
      <c r="I7" s="32">
        <v>19.0</v>
      </c>
      <c r="J7" s="32">
        <v>19.0</v>
      </c>
      <c r="K7" s="32">
        <v>19.0</v>
      </c>
      <c r="L7" s="32">
        <v>19.0</v>
      </c>
      <c r="M7" s="32">
        <v>19.0</v>
      </c>
      <c r="N7" s="32">
        <v>19.0</v>
      </c>
      <c r="O7" s="22" t="s">
        <v>109</v>
      </c>
    </row>
    <row r="8">
      <c r="A8" s="37" t="s">
        <v>110</v>
      </c>
      <c r="B8" s="38" t="s">
        <v>111</v>
      </c>
      <c r="C8" s="39">
        <v>2.0</v>
      </c>
      <c r="D8" s="40">
        <v>26.0</v>
      </c>
      <c r="E8" s="39">
        <v>19.0</v>
      </c>
      <c r="F8" s="39">
        <v>19.0</v>
      </c>
      <c r="G8" s="32">
        <v>19.0</v>
      </c>
      <c r="H8" s="32">
        <v>19.0</v>
      </c>
      <c r="I8" s="32">
        <v>19.0</v>
      </c>
      <c r="J8" s="32">
        <v>19.0</v>
      </c>
      <c r="K8" s="32">
        <v>19.0</v>
      </c>
      <c r="L8" s="32">
        <v>19.0</v>
      </c>
      <c r="M8" s="32">
        <v>19.0</v>
      </c>
      <c r="N8" s="32">
        <v>19.0</v>
      </c>
      <c r="O8" s="22" t="s">
        <v>112</v>
      </c>
    </row>
    <row r="9">
      <c r="A9" s="33" t="s">
        <v>113</v>
      </c>
      <c r="B9" s="34" t="s">
        <v>114</v>
      </c>
      <c r="C9" s="35">
        <v>2.0</v>
      </c>
      <c r="D9" s="36">
        <v>26.0</v>
      </c>
      <c r="E9" s="35">
        <v>19.0</v>
      </c>
      <c r="F9" s="35">
        <v>19.0</v>
      </c>
      <c r="G9" s="32">
        <v>19.0</v>
      </c>
      <c r="H9" s="32">
        <v>19.0</v>
      </c>
      <c r="I9" s="32">
        <v>19.0</v>
      </c>
      <c r="J9" s="32">
        <v>19.0</v>
      </c>
      <c r="K9" s="32">
        <v>19.0</v>
      </c>
      <c r="L9" s="32">
        <v>19.0</v>
      </c>
      <c r="M9" s="32">
        <v>19.0</v>
      </c>
      <c r="N9" s="32">
        <v>19.0</v>
      </c>
      <c r="O9" s="41"/>
    </row>
    <row r="10">
      <c r="A10" s="37" t="s">
        <v>115</v>
      </c>
      <c r="B10" s="38" t="s">
        <v>116</v>
      </c>
      <c r="C10" s="39">
        <v>2.0</v>
      </c>
      <c r="D10" s="40">
        <v>26.0</v>
      </c>
      <c r="E10" s="39">
        <v>19.0</v>
      </c>
      <c r="F10" s="39">
        <v>19.0</v>
      </c>
      <c r="G10" s="32">
        <v>19.0</v>
      </c>
      <c r="H10" s="32">
        <v>19.0</v>
      </c>
      <c r="I10" s="32">
        <v>19.0</v>
      </c>
      <c r="J10" s="32">
        <v>19.0</v>
      </c>
      <c r="K10" s="32">
        <v>19.0</v>
      </c>
      <c r="L10" s="32">
        <v>19.0</v>
      </c>
      <c r="M10" s="32">
        <v>19.0</v>
      </c>
      <c r="N10" s="32">
        <v>19.0</v>
      </c>
      <c r="O10" s="42"/>
    </row>
    <row r="11">
      <c r="A11" s="33" t="s">
        <v>117</v>
      </c>
      <c r="B11" s="34" t="s">
        <v>118</v>
      </c>
      <c r="C11" s="35">
        <v>2.0</v>
      </c>
      <c r="D11" s="36">
        <v>26.0</v>
      </c>
      <c r="E11" s="35">
        <v>19.0</v>
      </c>
      <c r="F11" s="35">
        <v>19.0</v>
      </c>
      <c r="G11" s="32">
        <v>19.0</v>
      </c>
      <c r="H11" s="32">
        <v>19.0</v>
      </c>
      <c r="I11" s="32">
        <v>19.0</v>
      </c>
      <c r="J11" s="32">
        <v>19.0</v>
      </c>
      <c r="K11" s="32">
        <v>19.0</v>
      </c>
      <c r="L11" s="32">
        <v>19.0</v>
      </c>
      <c r="M11" s="32">
        <v>19.0</v>
      </c>
      <c r="N11" s="32">
        <v>19.0</v>
      </c>
      <c r="O11" s="42"/>
    </row>
    <row r="12">
      <c r="A12" s="43"/>
      <c r="C12" s="39"/>
      <c r="D12" s="39"/>
      <c r="E12" s="44"/>
      <c r="F12" s="44"/>
      <c r="L12" s="45"/>
      <c r="N12" s="46"/>
      <c r="O12" s="42"/>
    </row>
    <row r="13">
      <c r="A13" s="47"/>
      <c r="C13" s="35"/>
      <c r="D13" s="35"/>
      <c r="E13" s="48"/>
      <c r="F13" s="48"/>
      <c r="L13" s="45"/>
      <c r="N13" s="49"/>
      <c r="O13" s="42"/>
    </row>
    <row r="14">
      <c r="A14" s="43"/>
      <c r="C14" s="39"/>
      <c r="D14" s="39"/>
      <c r="E14" s="44"/>
      <c r="F14" s="44"/>
      <c r="L14" s="45"/>
      <c r="N14" s="50"/>
      <c r="O14" s="42"/>
    </row>
    <row r="15">
      <c r="C15" s="35"/>
      <c r="D15" s="35"/>
      <c r="E15" s="35"/>
      <c r="F15" s="35"/>
      <c r="G15" s="51"/>
      <c r="H15" s="51"/>
      <c r="I15" s="51"/>
      <c r="J15" s="51"/>
      <c r="K15" s="51"/>
      <c r="L15" s="45"/>
      <c r="N15" s="52"/>
      <c r="O15" s="42"/>
    </row>
    <row r="16">
      <c r="C16" s="39"/>
      <c r="D16" s="39"/>
      <c r="E16" s="44"/>
      <c r="F16" s="44"/>
      <c r="L16" s="45"/>
      <c r="N16" s="46"/>
      <c r="O16" s="42"/>
    </row>
    <row r="17">
      <c r="C17" s="35"/>
      <c r="D17" s="35"/>
      <c r="E17" s="48"/>
      <c r="F17" s="48"/>
      <c r="G17" s="53"/>
      <c r="H17" s="53"/>
      <c r="I17" s="53"/>
      <c r="J17" s="53"/>
      <c r="K17" s="53"/>
      <c r="L17" s="45"/>
      <c r="N17" s="50"/>
      <c r="O17" s="42"/>
    </row>
    <row r="18">
      <c r="C18" s="39"/>
      <c r="D18" s="39"/>
      <c r="E18" s="44"/>
      <c r="F18" s="44"/>
      <c r="L18" s="45"/>
      <c r="N18" s="54"/>
      <c r="O18" s="42"/>
    </row>
    <row r="19">
      <c r="C19" s="35"/>
      <c r="D19" s="35"/>
      <c r="E19" s="48"/>
      <c r="F19" s="48"/>
      <c r="L19" s="45"/>
      <c r="N19" s="55"/>
      <c r="O19" s="56"/>
    </row>
    <row r="20">
      <c r="B20" s="57"/>
      <c r="C20" s="39"/>
      <c r="D20" s="39"/>
      <c r="E20" s="58"/>
      <c r="F20" s="58"/>
      <c r="G20" s="59"/>
      <c r="H20" s="59"/>
      <c r="I20" s="59"/>
      <c r="J20" s="59"/>
      <c r="K20" s="59"/>
      <c r="L20" s="45"/>
      <c r="M20" s="60"/>
      <c r="N20" s="61"/>
      <c r="O20" s="42"/>
    </row>
    <row r="21">
      <c r="C21" s="35"/>
      <c r="D21" s="35"/>
      <c r="E21" s="48"/>
      <c r="F21" s="48"/>
      <c r="L21" s="45"/>
      <c r="O21" s="62"/>
    </row>
    <row r="22">
      <c r="C22" s="39"/>
      <c r="D22" s="39"/>
      <c r="E22" s="44"/>
      <c r="F22" s="44"/>
      <c r="H22" s="53"/>
      <c r="I22" s="53"/>
      <c r="K22" s="53"/>
      <c r="L22" s="45"/>
      <c r="N22" s="63"/>
      <c r="O22" s="62"/>
    </row>
    <row r="23">
      <c r="C23" s="35"/>
      <c r="D23" s="35"/>
      <c r="E23" s="48"/>
      <c r="F23" s="48"/>
      <c r="G23" s="53"/>
      <c r="H23" s="53"/>
      <c r="I23" s="53"/>
      <c r="J23" s="53"/>
      <c r="K23" s="53"/>
      <c r="L23" s="45"/>
      <c r="O23" s="62"/>
    </row>
    <row r="24">
      <c r="C24" s="39"/>
      <c r="D24" s="39"/>
      <c r="E24" s="44"/>
      <c r="F24" s="44"/>
      <c r="L24" s="45"/>
      <c r="O24" s="62"/>
    </row>
    <row r="25">
      <c r="A25" s="48"/>
      <c r="C25" s="35"/>
      <c r="D25" s="35"/>
      <c r="E25" s="48"/>
      <c r="F25" s="48"/>
      <c r="G25" s="53"/>
      <c r="H25" s="53"/>
      <c r="I25" s="53"/>
      <c r="J25" s="53"/>
      <c r="K25" s="53"/>
      <c r="L25" s="45"/>
      <c r="O25" s="62"/>
    </row>
    <row r="26">
      <c r="A26" s="44"/>
      <c r="C26" s="39"/>
      <c r="D26" s="39"/>
      <c r="E26" s="44"/>
      <c r="F26" s="44"/>
      <c r="G26" s="53"/>
      <c r="H26" s="53"/>
      <c r="I26" s="53"/>
      <c r="J26" s="53"/>
      <c r="K26" s="53"/>
      <c r="L26" s="45"/>
      <c r="O26" s="62"/>
    </row>
    <row r="27">
      <c r="A27" s="48"/>
      <c r="C27" s="35"/>
      <c r="D27" s="35"/>
      <c r="E27" s="48"/>
      <c r="F27" s="48"/>
      <c r="G27" s="53"/>
      <c r="H27" s="53"/>
      <c r="I27" s="53"/>
      <c r="J27" s="53"/>
      <c r="K27" s="53"/>
      <c r="L27" s="53"/>
      <c r="O27" s="62"/>
    </row>
  </sheetData>
  <autoFilter ref="$A$1:$L$27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4.13"/>
  </cols>
  <sheetData>
    <row r="1">
      <c r="A1" s="27" t="s">
        <v>78</v>
      </c>
      <c r="B1" s="27" t="s">
        <v>79</v>
      </c>
      <c r="C1" s="27" t="s">
        <v>80</v>
      </c>
      <c r="D1" s="27" t="s">
        <v>81</v>
      </c>
      <c r="E1" s="27" t="s">
        <v>82</v>
      </c>
      <c r="F1" s="27" t="s">
        <v>83</v>
      </c>
      <c r="G1" s="27" t="s">
        <v>84</v>
      </c>
      <c r="H1" s="27" t="s">
        <v>85</v>
      </c>
      <c r="I1" s="27" t="s">
        <v>86</v>
      </c>
      <c r="J1" s="27" t="s">
        <v>87</v>
      </c>
      <c r="K1" s="27" t="s">
        <v>88</v>
      </c>
      <c r="L1" s="27" t="s">
        <v>89</v>
      </c>
      <c r="M1" s="27" t="s">
        <v>90</v>
      </c>
      <c r="N1" s="27" t="s">
        <v>91</v>
      </c>
    </row>
    <row r="2" hidden="1">
      <c r="A2" s="33" t="s">
        <v>119</v>
      </c>
      <c r="B2" s="64" t="s">
        <v>120</v>
      </c>
      <c r="C2" s="36">
        <v>2.0</v>
      </c>
      <c r="D2" s="36">
        <v>26.0</v>
      </c>
      <c r="E2" s="65">
        <v>19.0</v>
      </c>
      <c r="F2" s="65">
        <v>19.0</v>
      </c>
      <c r="G2" s="65">
        <v>19.0</v>
      </c>
      <c r="H2" s="65">
        <v>19.0</v>
      </c>
      <c r="I2" s="65">
        <v>19.0</v>
      </c>
      <c r="J2" s="65">
        <v>19.0</v>
      </c>
      <c r="K2" s="65">
        <v>19.0</v>
      </c>
      <c r="L2" s="65">
        <v>19.0</v>
      </c>
      <c r="M2" s="65">
        <v>19.0</v>
      </c>
      <c r="N2" s="65">
        <v>19.0</v>
      </c>
      <c r="P2" s="66" t="s">
        <v>121</v>
      </c>
      <c r="Q2" s="67"/>
    </row>
    <row r="3" hidden="1">
      <c r="A3" s="37" t="s">
        <v>122</v>
      </c>
      <c r="B3" s="38" t="s">
        <v>123</v>
      </c>
      <c r="C3" s="40">
        <v>2.0</v>
      </c>
      <c r="D3" s="40">
        <v>26.0</v>
      </c>
      <c r="E3" s="68">
        <v>19.0</v>
      </c>
      <c r="F3" s="68">
        <v>19.0</v>
      </c>
      <c r="G3" s="68">
        <v>19.0</v>
      </c>
      <c r="H3" s="68">
        <v>19.0</v>
      </c>
      <c r="I3" s="68">
        <v>19.0</v>
      </c>
      <c r="J3" s="68">
        <v>19.0</v>
      </c>
      <c r="K3" s="68">
        <v>19.0</v>
      </c>
      <c r="L3" s="68">
        <v>19.0</v>
      </c>
      <c r="M3" s="68">
        <v>19.0</v>
      </c>
      <c r="N3" s="68">
        <v>19.0</v>
      </c>
      <c r="P3" s="69" t="s">
        <v>124</v>
      </c>
      <c r="Q3" s="70"/>
    </row>
    <row r="4">
      <c r="A4" s="33" t="s">
        <v>125</v>
      </c>
      <c r="B4" s="34" t="s">
        <v>126</v>
      </c>
      <c r="C4" s="36">
        <v>2.0</v>
      </c>
      <c r="D4" s="36">
        <v>26.0</v>
      </c>
      <c r="E4" s="65">
        <v>19.0</v>
      </c>
      <c r="F4" s="65">
        <v>19.0</v>
      </c>
      <c r="G4" s="65">
        <v>19.0</v>
      </c>
      <c r="H4" s="65">
        <v>19.0</v>
      </c>
      <c r="I4" s="65">
        <v>19.0</v>
      </c>
      <c r="J4" s="65">
        <v>19.0</v>
      </c>
      <c r="K4" s="65">
        <v>19.0</v>
      </c>
      <c r="L4" s="65">
        <v>19.0</v>
      </c>
      <c r="M4" s="65">
        <v>19.0</v>
      </c>
      <c r="N4" s="65">
        <v>19.0</v>
      </c>
      <c r="P4" s="69" t="s">
        <v>127</v>
      </c>
      <c r="Q4" s="65" t="s">
        <v>128</v>
      </c>
    </row>
    <row r="5" hidden="1">
      <c r="A5" s="37" t="s">
        <v>129</v>
      </c>
      <c r="B5" s="38" t="s">
        <v>130</v>
      </c>
      <c r="C5" s="40">
        <v>2.0</v>
      </c>
      <c r="D5" s="40">
        <v>26.0</v>
      </c>
      <c r="E5" s="68">
        <v>19.0</v>
      </c>
      <c r="F5" s="68">
        <v>19.0</v>
      </c>
      <c r="G5" s="68">
        <v>19.0</v>
      </c>
      <c r="H5" s="68">
        <v>19.0</v>
      </c>
      <c r="I5" s="68">
        <v>19.0</v>
      </c>
      <c r="J5" s="68">
        <v>19.0</v>
      </c>
      <c r="K5" s="68">
        <v>19.0</v>
      </c>
      <c r="L5" s="68">
        <v>19.0</v>
      </c>
      <c r="M5" s="68">
        <v>19.0</v>
      </c>
      <c r="N5" s="68">
        <v>19.0</v>
      </c>
      <c r="P5" s="66" t="s">
        <v>131</v>
      </c>
      <c r="Q5" s="71"/>
    </row>
    <row r="6" hidden="1">
      <c r="A6" s="33" t="s">
        <v>132</v>
      </c>
      <c r="B6" s="34" t="s">
        <v>133</v>
      </c>
      <c r="C6" s="36">
        <v>2.0</v>
      </c>
      <c r="D6" s="36">
        <v>26.0</v>
      </c>
      <c r="E6" s="65">
        <v>19.0</v>
      </c>
      <c r="F6" s="65">
        <v>19.0</v>
      </c>
      <c r="G6" s="65">
        <v>19.0</v>
      </c>
      <c r="H6" s="65">
        <v>19.0</v>
      </c>
      <c r="I6" s="65">
        <v>19.0</v>
      </c>
      <c r="J6" s="65">
        <v>19.0</v>
      </c>
      <c r="K6" s="65">
        <v>19.0</v>
      </c>
      <c r="L6" s="65">
        <v>19.0</v>
      </c>
      <c r="M6" s="65">
        <v>19.0</v>
      </c>
      <c r="N6" s="65">
        <v>19.0</v>
      </c>
      <c r="P6" s="36" t="s">
        <v>134</v>
      </c>
      <c r="Q6" s="72"/>
    </row>
    <row r="7" hidden="1">
      <c r="A7" s="37" t="s">
        <v>135</v>
      </c>
      <c r="B7" s="38" t="s">
        <v>136</v>
      </c>
      <c r="C7" s="40">
        <v>2.0</v>
      </c>
      <c r="D7" s="40">
        <v>26.0</v>
      </c>
      <c r="E7" s="68">
        <v>19.0</v>
      </c>
      <c r="F7" s="68">
        <v>19.0</v>
      </c>
      <c r="G7" s="68">
        <v>19.0</v>
      </c>
      <c r="H7" s="68">
        <v>19.0</v>
      </c>
      <c r="I7" s="68">
        <v>19.0</v>
      </c>
      <c r="J7" s="68">
        <v>19.0</v>
      </c>
      <c r="K7" s="68">
        <v>19.0</v>
      </c>
      <c r="L7" s="68">
        <v>19.0</v>
      </c>
      <c r="M7" s="68">
        <v>19.0</v>
      </c>
      <c r="N7" s="68">
        <v>19.0</v>
      </c>
      <c r="P7" s="73" t="s">
        <v>137</v>
      </c>
      <c r="Q7" s="68"/>
    </row>
    <row r="8">
      <c r="A8" s="33" t="s">
        <v>138</v>
      </c>
      <c r="B8" s="34" t="s">
        <v>139</v>
      </c>
      <c r="C8" s="36">
        <v>2.0</v>
      </c>
      <c r="D8" s="36">
        <v>26.0</v>
      </c>
      <c r="E8" s="65">
        <v>19.0</v>
      </c>
      <c r="F8" s="65">
        <v>19.0</v>
      </c>
      <c r="G8" s="65">
        <v>19.0</v>
      </c>
      <c r="H8" s="65">
        <v>19.0</v>
      </c>
      <c r="I8" s="65">
        <v>19.0</v>
      </c>
      <c r="J8" s="65">
        <v>19.0</v>
      </c>
      <c r="K8" s="65">
        <v>19.0</v>
      </c>
      <c r="L8" s="65">
        <v>19.0</v>
      </c>
      <c r="M8" s="65">
        <v>19.0</v>
      </c>
      <c r="N8" s="65">
        <v>19.0</v>
      </c>
      <c r="P8" s="73" t="s">
        <v>140</v>
      </c>
      <c r="Q8" s="65" t="s">
        <v>128</v>
      </c>
    </row>
    <row r="9" hidden="1">
      <c r="A9" s="37" t="s">
        <v>141</v>
      </c>
      <c r="B9" s="38" t="s">
        <v>142</v>
      </c>
      <c r="C9" s="40">
        <v>2.0</v>
      </c>
      <c r="D9" s="40">
        <v>26.0</v>
      </c>
      <c r="E9" s="68">
        <v>19.0</v>
      </c>
      <c r="F9" s="68">
        <v>19.0</v>
      </c>
      <c r="G9" s="68">
        <v>19.0</v>
      </c>
      <c r="H9" s="68">
        <v>19.0</v>
      </c>
      <c r="I9" s="68">
        <v>19.0</v>
      </c>
      <c r="J9" s="68">
        <v>19.0</v>
      </c>
      <c r="K9" s="68">
        <v>19.0</v>
      </c>
      <c r="L9" s="68">
        <v>19.0</v>
      </c>
      <c r="M9" s="68">
        <v>19.0</v>
      </c>
      <c r="N9" s="68">
        <v>19.0</v>
      </c>
      <c r="P9" s="74" t="s">
        <v>143</v>
      </c>
      <c r="Q9" s="75"/>
    </row>
  </sheetData>
  <autoFilter ref="$A$1:$Q$9">
    <filterColumn colId="16">
      <filters>
        <filter val="COLEGIO DE ING DEL PERU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14.38"/>
  </cols>
  <sheetData>
    <row r="1">
      <c r="A1" s="27" t="s">
        <v>78</v>
      </c>
      <c r="B1" s="27" t="s">
        <v>79</v>
      </c>
      <c r="C1" s="27" t="s">
        <v>80</v>
      </c>
      <c r="D1" s="27" t="s">
        <v>81</v>
      </c>
      <c r="E1" s="27" t="s">
        <v>82</v>
      </c>
      <c r="F1" s="27" t="s">
        <v>83</v>
      </c>
      <c r="G1" s="27" t="s">
        <v>84</v>
      </c>
      <c r="H1" s="27" t="s">
        <v>85</v>
      </c>
      <c r="I1" s="27" t="s">
        <v>86</v>
      </c>
      <c r="J1" s="27" t="s">
        <v>87</v>
      </c>
      <c r="K1" s="27" t="s">
        <v>88</v>
      </c>
      <c r="L1" s="27" t="s">
        <v>89</v>
      </c>
      <c r="M1" s="27" t="s">
        <v>90</v>
      </c>
      <c r="N1" s="27" t="s">
        <v>91</v>
      </c>
    </row>
    <row r="2">
      <c r="A2" s="29" t="s">
        <v>144</v>
      </c>
      <c r="B2" s="30" t="s">
        <v>145</v>
      </c>
      <c r="C2" s="67">
        <v>2.0</v>
      </c>
      <c r="D2" s="22">
        <v>26.0</v>
      </c>
      <c r="E2" s="76">
        <v>19.0</v>
      </c>
      <c r="F2" s="76">
        <v>19.0</v>
      </c>
      <c r="G2" s="76">
        <v>19.0</v>
      </c>
      <c r="H2" s="76">
        <v>19.0</v>
      </c>
      <c r="I2" s="76">
        <v>19.0</v>
      </c>
      <c r="J2" s="76">
        <v>19.0</v>
      </c>
      <c r="K2" s="76">
        <v>19.0</v>
      </c>
      <c r="L2" s="76">
        <v>19.0</v>
      </c>
      <c r="M2" s="76">
        <v>19.0</v>
      </c>
      <c r="N2" s="76">
        <v>19.0</v>
      </c>
      <c r="P2" s="77" t="s">
        <v>146</v>
      </c>
    </row>
    <row r="3">
      <c r="A3" s="54"/>
      <c r="C3" s="67"/>
      <c r="E3" s="76"/>
      <c r="F3" s="76"/>
      <c r="G3" s="76"/>
      <c r="H3" s="76"/>
      <c r="I3" s="76"/>
      <c r="J3" s="76"/>
      <c r="K3" s="76"/>
      <c r="L3" s="76"/>
      <c r="P3" s="78"/>
    </row>
  </sheetData>
  <autoFilter ref="$P$1:$P$3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7.5"/>
    <col customWidth="1" min="13" max="13" width="25.0"/>
  </cols>
  <sheetData>
    <row r="1">
      <c r="A1" s="27" t="s">
        <v>78</v>
      </c>
      <c r="B1" s="27" t="s">
        <v>79</v>
      </c>
      <c r="C1" s="27" t="s">
        <v>80</v>
      </c>
      <c r="D1" s="27" t="s">
        <v>81</v>
      </c>
      <c r="E1" s="27" t="s">
        <v>82</v>
      </c>
      <c r="F1" s="27" t="s">
        <v>83</v>
      </c>
      <c r="G1" s="27" t="s">
        <v>84</v>
      </c>
      <c r="H1" s="27" t="s">
        <v>85</v>
      </c>
      <c r="I1" s="27" t="s">
        <v>86</v>
      </c>
      <c r="J1" s="27" t="s">
        <v>87</v>
      </c>
      <c r="K1" s="27" t="s">
        <v>88</v>
      </c>
      <c r="L1" s="27" t="s">
        <v>89</v>
      </c>
      <c r="M1" s="27" t="s">
        <v>90</v>
      </c>
      <c r="N1" s="27" t="s">
        <v>91</v>
      </c>
    </row>
    <row r="2">
      <c r="A2" s="29" t="s">
        <v>147</v>
      </c>
      <c r="B2" s="30" t="s">
        <v>148</v>
      </c>
      <c r="C2" s="67">
        <v>2.0</v>
      </c>
      <c r="D2" s="22">
        <v>26.0</v>
      </c>
      <c r="E2" s="76">
        <v>19.0</v>
      </c>
      <c r="F2" s="76">
        <v>19.0</v>
      </c>
      <c r="G2" s="76">
        <v>19.0</v>
      </c>
      <c r="H2" s="76">
        <v>19.0</v>
      </c>
      <c r="I2" s="76">
        <v>19.0</v>
      </c>
      <c r="J2" s="76">
        <v>19.0</v>
      </c>
      <c r="K2" s="76">
        <v>19.0</v>
      </c>
      <c r="L2" s="76">
        <v>19.0</v>
      </c>
      <c r="M2" s="76">
        <v>19.0</v>
      </c>
      <c r="N2" s="76">
        <v>19.0</v>
      </c>
      <c r="O2" s="76" t="s">
        <v>149</v>
      </c>
      <c r="P2" s="79"/>
    </row>
    <row r="3">
      <c r="A3" s="29" t="s">
        <v>150</v>
      </c>
      <c r="B3" s="30" t="s">
        <v>151</v>
      </c>
      <c r="C3" s="67">
        <v>2.0</v>
      </c>
      <c r="D3" s="22">
        <v>26.0</v>
      </c>
      <c r="E3" s="76">
        <v>19.0</v>
      </c>
      <c r="F3" s="76">
        <v>19.0</v>
      </c>
      <c r="G3" s="76">
        <v>19.0</v>
      </c>
      <c r="H3" s="76">
        <v>19.0</v>
      </c>
      <c r="I3" s="76">
        <v>19.0</v>
      </c>
      <c r="J3" s="76">
        <v>19.0</v>
      </c>
      <c r="K3" s="76">
        <v>19.0</v>
      </c>
      <c r="L3" s="76">
        <v>19.0</v>
      </c>
      <c r="M3" s="76">
        <v>19.0</v>
      </c>
      <c r="N3" s="76">
        <v>19.0</v>
      </c>
      <c r="O3" s="76" t="s">
        <v>152</v>
      </c>
      <c r="P3" s="78"/>
    </row>
    <row r="4">
      <c r="A4" s="29" t="s">
        <v>153</v>
      </c>
      <c r="B4" s="30" t="s">
        <v>154</v>
      </c>
      <c r="C4" s="67">
        <v>2.0</v>
      </c>
      <c r="D4" s="22">
        <v>26.0</v>
      </c>
      <c r="E4" s="76">
        <v>19.0</v>
      </c>
      <c r="F4" s="76">
        <v>19.0</v>
      </c>
      <c r="G4" s="76">
        <v>19.0</v>
      </c>
      <c r="H4" s="76">
        <v>19.0</v>
      </c>
      <c r="I4" s="76">
        <v>19.0</v>
      </c>
      <c r="J4" s="76">
        <v>19.0</v>
      </c>
      <c r="K4" s="76">
        <v>19.0</v>
      </c>
      <c r="L4" s="76">
        <v>19.0</v>
      </c>
      <c r="M4" s="76">
        <v>19.0</v>
      </c>
      <c r="N4" s="76">
        <v>19.0</v>
      </c>
      <c r="O4" s="76" t="s">
        <v>155</v>
      </c>
      <c r="P4" s="47"/>
    </row>
    <row r="5">
      <c r="A5" s="29" t="s">
        <v>156</v>
      </c>
      <c r="B5" s="30" t="s">
        <v>157</v>
      </c>
      <c r="C5" s="67">
        <v>2.0</v>
      </c>
      <c r="D5" s="22">
        <v>26.0</v>
      </c>
      <c r="E5" s="76">
        <v>19.0</v>
      </c>
      <c r="F5" s="76">
        <v>19.0</v>
      </c>
      <c r="G5" s="76">
        <v>19.0</v>
      </c>
      <c r="H5" s="76">
        <v>19.0</v>
      </c>
      <c r="I5" s="76">
        <v>19.0</v>
      </c>
      <c r="J5" s="76">
        <v>19.0</v>
      </c>
      <c r="K5" s="76">
        <v>19.0</v>
      </c>
      <c r="L5" s="76">
        <v>19.0</v>
      </c>
      <c r="M5" s="76">
        <v>19.0</v>
      </c>
      <c r="N5" s="76">
        <v>19.0</v>
      </c>
      <c r="O5" s="76" t="s">
        <v>158</v>
      </c>
      <c r="P5" s="44" t="s">
        <v>159</v>
      </c>
    </row>
    <row r="6">
      <c r="A6" s="29" t="s">
        <v>160</v>
      </c>
      <c r="B6" s="30" t="s">
        <v>161</v>
      </c>
      <c r="C6" s="67">
        <v>2.0</v>
      </c>
      <c r="D6" s="22">
        <v>26.0</v>
      </c>
      <c r="E6" s="76">
        <v>19.0</v>
      </c>
      <c r="F6" s="76">
        <v>19.0</v>
      </c>
      <c r="G6" s="76">
        <v>19.0</v>
      </c>
      <c r="H6" s="76">
        <v>19.0</v>
      </c>
      <c r="I6" s="76">
        <v>19.0</v>
      </c>
      <c r="J6" s="76">
        <v>19.0</v>
      </c>
      <c r="K6" s="76">
        <v>19.0</v>
      </c>
      <c r="L6" s="76">
        <v>19.0</v>
      </c>
      <c r="M6" s="76">
        <v>19.0</v>
      </c>
      <c r="N6" s="76">
        <v>19.0</v>
      </c>
      <c r="O6" s="76" t="s">
        <v>162</v>
      </c>
    </row>
    <row r="7">
      <c r="A7" s="29" t="s">
        <v>163</v>
      </c>
      <c r="B7" s="30" t="s">
        <v>164</v>
      </c>
      <c r="C7" s="67">
        <v>2.0</v>
      </c>
      <c r="D7" s="22">
        <v>26.0</v>
      </c>
      <c r="E7" s="76">
        <v>19.0</v>
      </c>
      <c r="F7" s="76">
        <v>19.0</v>
      </c>
      <c r="G7" s="76">
        <v>19.0</v>
      </c>
      <c r="H7" s="76">
        <v>19.0</v>
      </c>
      <c r="I7" s="76">
        <v>19.0</v>
      </c>
      <c r="J7" s="76">
        <v>19.0</v>
      </c>
      <c r="K7" s="76">
        <v>19.0</v>
      </c>
      <c r="L7" s="76">
        <v>19.0</v>
      </c>
      <c r="M7" s="76">
        <v>19.0</v>
      </c>
      <c r="N7" s="76">
        <v>19.0</v>
      </c>
      <c r="O7" s="76" t="s">
        <v>165</v>
      </c>
    </row>
    <row r="8">
      <c r="A8" s="29" t="s">
        <v>166</v>
      </c>
      <c r="B8" s="30" t="s">
        <v>167</v>
      </c>
      <c r="C8" s="67">
        <v>2.0</v>
      </c>
      <c r="D8" s="22">
        <v>26.0</v>
      </c>
      <c r="E8" s="76">
        <v>19.0</v>
      </c>
      <c r="F8" s="76">
        <v>19.0</v>
      </c>
      <c r="G8" s="76">
        <v>19.0</v>
      </c>
      <c r="H8" s="76">
        <v>19.0</v>
      </c>
      <c r="I8" s="76">
        <v>19.0</v>
      </c>
      <c r="J8" s="76">
        <v>19.0</v>
      </c>
      <c r="K8" s="76">
        <v>19.0</v>
      </c>
      <c r="L8" s="76">
        <v>19.0</v>
      </c>
      <c r="M8" s="76">
        <v>19.0</v>
      </c>
      <c r="N8" s="76">
        <v>19.0</v>
      </c>
      <c r="O8" s="76" t="s">
        <v>168</v>
      </c>
    </row>
  </sheetData>
  <autoFilter ref="$P$1:$P$8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</cols>
  <sheetData>
    <row r="1">
      <c r="A1" s="27" t="s">
        <v>78</v>
      </c>
      <c r="B1" s="27" t="s">
        <v>79</v>
      </c>
    </row>
    <row r="2">
      <c r="A2" s="80"/>
    </row>
    <row r="3">
      <c r="A3" s="81"/>
    </row>
    <row r="4">
      <c r="A4" s="82"/>
    </row>
    <row r="5">
      <c r="A5" s="81"/>
    </row>
    <row r="6">
      <c r="A6" s="82"/>
    </row>
    <row r="7">
      <c r="A7" s="81"/>
    </row>
    <row r="8">
      <c r="A8" s="81"/>
    </row>
    <row r="9">
      <c r="A9" s="82"/>
    </row>
    <row r="10">
      <c r="A10" s="81"/>
    </row>
    <row r="11">
      <c r="A11" s="81"/>
    </row>
    <row r="12">
      <c r="A12" s="82"/>
    </row>
    <row r="13">
      <c r="A13" s="81"/>
    </row>
    <row r="14">
      <c r="A14" s="82"/>
    </row>
    <row r="15">
      <c r="A15" s="81"/>
    </row>
    <row r="16">
      <c r="A16" s="82"/>
    </row>
    <row r="17">
      <c r="A17" s="83"/>
    </row>
    <row r="18">
      <c r="A18" s="81"/>
    </row>
    <row r="19">
      <c r="A19" s="82"/>
    </row>
    <row r="20">
      <c r="A20" s="84"/>
    </row>
    <row r="21">
      <c r="A21" s="85"/>
    </row>
    <row r="22">
      <c r="A22" s="85"/>
    </row>
    <row r="23">
      <c r="A23" s="86"/>
    </row>
    <row r="24">
      <c r="A24" s="87"/>
    </row>
    <row r="25">
      <c r="A25" s="82"/>
    </row>
    <row r="26">
      <c r="A26" s="81"/>
    </row>
    <row r="27">
      <c r="A27" s="81"/>
    </row>
    <row r="28">
      <c r="A28" s="88"/>
      <c r="B28" s="89"/>
    </row>
    <row r="29">
      <c r="A29" s="90"/>
    </row>
    <row r="30">
      <c r="A30" s="90"/>
    </row>
    <row r="31">
      <c r="A31" s="90"/>
    </row>
    <row r="32">
      <c r="A32" s="90"/>
    </row>
    <row r="33">
      <c r="A33" s="90"/>
    </row>
    <row r="34">
      <c r="A34" s="90"/>
    </row>
    <row r="35">
      <c r="A35" s="80"/>
    </row>
    <row r="36">
      <c r="A36" s="90"/>
    </row>
    <row r="37">
      <c r="A37" s="90"/>
    </row>
    <row r="38">
      <c r="A38" s="90"/>
    </row>
  </sheetData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</cols>
  <sheetData>
    <row r="2">
      <c r="A2" s="91" t="s">
        <v>169</v>
      </c>
    </row>
    <row r="3">
      <c r="A3" s="91" t="s">
        <v>170</v>
      </c>
    </row>
  </sheetData>
  <hyperlinks>
    <hyperlink r:id="rId1" location="slide=id.g3de0fb7eb84_0_4" ref="A2"/>
    <hyperlink r:id="rId2" location="slide=id.p" ref="A3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3.13"/>
  </cols>
  <sheetData>
    <row r="1" ht="153.75" customHeight="1">
      <c r="A1" s="14" t="s">
        <v>171</v>
      </c>
      <c r="B1" s="92" t="str">
        <f>IMAGE("https://quickchart.io/qr?text=" &amp; ENCODEURL(A1), 1)</f>
        <v/>
      </c>
    </row>
  </sheetData>
  <hyperlinks>
    <hyperlink r:id="rId1" ref="A1"/>
  </hyperlinks>
  <drawing r:id="rId2"/>
</worksheet>
</file>